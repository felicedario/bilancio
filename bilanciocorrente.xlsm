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trlProps/ctrlProp1.xml" ContentType="application/vnd.ms-excel.controlproperties+xml"/>
  <Override PartName="/xl/tables/table20.xml" ContentType="application/vnd.openxmlformats-officedocument.spreadsheetml.table+xml"/>
  <Override PartName="/xl/drawings/drawing6.xml" ContentType="application/vnd.openxmlformats-officedocument.drawing+xml"/>
  <Override PartName="/xl/ctrlProps/ctrlProp2.xml" ContentType="application/vnd.ms-excel.controlproperties+xml"/>
  <Override PartName="/xl/tables/table21.xml" ContentType="application/vnd.openxmlformats-officedocument.spreadsheetml.table+xml"/>
  <Override PartName="/xl/slicers/slicer2.xml" ContentType="application/vnd.ms-excel.slicer+xml"/>
  <Override PartName="/xl/drawings/drawing7.xml" ContentType="application/vnd.openxmlformats-officedocument.drawing+xml"/>
  <Override PartName="/xl/ctrlProps/ctrlProp3.xml" ContentType="application/vnd.ms-excel.controlproperties+xml"/>
  <Override PartName="/xl/tables/table22.xml" ContentType="application/vnd.openxmlformats-officedocument.spreadsheetml.table+xml"/>
  <Override PartName="/xl/slicers/slicer3.xml" ContentType="application/vnd.ms-excel.slicer+xml"/>
  <Override PartName="/xl/drawings/drawing8.xml" ContentType="application/vnd.openxmlformats-officedocument.drawing+xml"/>
  <Override PartName="/xl/ctrlProps/ctrlProp4.xml" ContentType="application/vnd.ms-excel.controlproperties+xml"/>
  <Override PartName="/xl/tables/table23.xml" ContentType="application/vnd.openxmlformats-officedocument.spreadsheetml.table+xml"/>
  <Override PartName="/xl/slicers/slicer4.xml" ContentType="application/vnd.ms-excel.slicer+xml"/>
  <Override PartName="/xl/drawings/drawing9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4.xml" ContentType="application/vnd.openxmlformats-officedocument.spreadsheetml.table+xml"/>
  <Override PartName="/xl/slicers/slicer5.xml" ContentType="application/vnd.ms-excel.slicer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25.xml" ContentType="application/vnd.openxmlformats-officedocument.spreadsheetml.table+xml"/>
  <Override PartName="/xl/slicers/slicer6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Felice.Dario\Desktop\"/>
    </mc:Choice>
  </mc:AlternateContent>
  <xr:revisionPtr revIDLastSave="0" documentId="13_ncr:1_{6EC53DB7-79AD-497D-845E-7A4F3BF102EF}" xr6:coauthVersionLast="47" xr6:coauthVersionMax="47" xr10:uidLastSave="{00000000-0000-0000-0000-000000000000}"/>
  <bookViews>
    <workbookView xWindow="-108" yWindow="-108" windowWidth="23256" windowHeight="12456" tabRatio="672" activeTab="5" xr2:uid="{0AEF8829-0501-4E51-B0A0-0521A5B10087}"/>
  </bookViews>
  <sheets>
    <sheet name="APP" sheetId="14" r:id="rId1"/>
    <sheet name="CALCOLI" sheetId="9" r:id="rId2"/>
    <sheet name="IMPOSTAZIONI" sheetId="3" r:id="rId3"/>
    <sheet name="PIVOT" sheetId="11" r:id="rId4"/>
    <sheet name="RIEPILOGO" sheetId="10" r:id="rId5"/>
    <sheet name="CARTE" sheetId="12" r:id="rId6"/>
    <sheet name="ENTRATE" sheetId="2" r:id="rId7"/>
    <sheet name="SPESE" sheetId="6" r:id="rId8"/>
    <sheet name="RIMBORSI" sheetId="13" r:id="rId9"/>
    <sheet name="RISPARMI" sheetId="7" r:id="rId10"/>
    <sheet name="INVESTIMENTI" sheetId="8" r:id="rId11"/>
  </sheets>
  <definedNames>
    <definedName name="_xlnm._FilterDatabase" localSheetId="2" hidden="1">IMPOSTAZIONI!$I$2</definedName>
    <definedName name="_xleta.OR" hidden="1" xlm="1">#NAME?</definedName>
    <definedName name="_xleta.SUM" hidden="1" xlm="1">#NAME?</definedName>
    <definedName name="_xleta.YEAR" hidden="1" xlm="1">#NAME?</definedName>
    <definedName name="abbonamenti_lista" localSheetId="8">tbl_abbonamenti[abbonamenti]</definedName>
    <definedName name="abbonamenti_lista">tbl_abbonamenti[abbonamenti]</definedName>
    <definedName name="animalidomestici_lista" localSheetId="8">tbl_animali_domestici[animali domestici]</definedName>
    <definedName name="animalidomestici_lista">tbl_animali_domestici[animali domestici]</definedName>
    <definedName name="banca_lista" localSheetId="8">tbl_banca[banca]</definedName>
    <definedName name="banca_lista">tbl_banca[banca]</definedName>
    <definedName name="carte_lista" localSheetId="8">tbl_carte[nome]</definedName>
    <definedName name="carte_lista">tbl_carte[nome]</definedName>
    <definedName name="casa_lista" localSheetId="8">tbl_casa[casa]</definedName>
    <definedName name="casa_lista">tbl_casa[casa]</definedName>
    <definedName name="entrate_lista" localSheetId="8">tbl_entrate[entrate]</definedName>
    <definedName name="entrate_lista">tbl_entrate[entrate]</definedName>
    <definedName name="eventi_lista" localSheetId="8">tbl_eventi[eventi]</definedName>
    <definedName name="eventi_lista">tbl_eventi[eventi]</definedName>
    <definedName name="figli_lista" localSheetId="8">tbl_figli[figli]</definedName>
    <definedName name="figli_lista">tbl_figli[figli]</definedName>
    <definedName name="filtro_tbl_entrate">#N/A</definedName>
    <definedName name="filtro_tbl_investimenti">#N/A</definedName>
    <definedName name="filtro_tbl_risparmi">#N/A</definedName>
    <definedName name="filtro_tbl_risparmi1">#N/A</definedName>
    <definedName name="filtro_tbl_spese">#N/A</definedName>
    <definedName name="FiltroDati_Intestatario">#N/A</definedName>
    <definedName name="FiltroDati_Pagamento">#N/A</definedName>
    <definedName name="investimenti_lista" localSheetId="8">tbl_investimenti[investimenti]</definedName>
    <definedName name="investimenti_lista">tbl_investimenti[investimenti]</definedName>
    <definedName name="lista_completa" localSheetId="8">RIMBORSI!persone_lista</definedName>
    <definedName name="lista_completa">persone_lista</definedName>
    <definedName name="persone_lista" localSheetId="8">tbl_persone[persone]</definedName>
    <definedName name="persone_lista">tbl_persone[persone]</definedName>
    <definedName name="rimborso_lista">tbl_rimborso[rimborso]</definedName>
    <definedName name="salute_lista" localSheetId="8">tbl_salute[salute]</definedName>
    <definedName name="salute_lista">tbl_salute[salute]</definedName>
    <definedName name="spese_lista" localSheetId="8">tbl_spese[spese]</definedName>
    <definedName name="spese_lista">tbl_spese[spese]</definedName>
    <definedName name="spesequotidiane_lista" localSheetId="8">tbl_spese_quotidiane[spese quotidiane]</definedName>
    <definedName name="spesequotidiane_lista">tbl_spese_quotidiane[spese quotidiane]</definedName>
    <definedName name="svago_lista" localSheetId="8">tbl_svago[svago]</definedName>
    <definedName name="svago_lista">tbl_svago[svago]</definedName>
    <definedName name="trasporto_lista" localSheetId="8">tbl_trasporto[trasporto]</definedName>
    <definedName name="trasporto_lista">tbl_trasporto[trasporto]</definedName>
  </definedNames>
  <calcPr calcId="191029"/>
  <pivotCaches>
    <pivotCache cacheId="16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5"/>
        <x14:slicerCache r:id="rId16"/>
        <x14:slicerCache r:id="rId17"/>
        <x14:slicerCache r:id="rId18"/>
        <x14:slicerCache r:id="rId1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12" l="1"/>
  <c r="H34" i="12"/>
  <c r="AG10" i="12" a="1"/>
  <c r="AG10" i="12" s="1"/>
  <c r="AG11" i="12" a="1"/>
  <c r="AG11" i="12" s="1"/>
  <c r="AG12" i="12" a="1"/>
  <c r="AG12" i="12" s="1"/>
  <c r="AG13" i="12" a="1"/>
  <c r="AG13" i="12" s="1"/>
  <c r="AG14" i="12" a="1"/>
  <c r="AG14" i="12" s="1"/>
  <c r="AG15" i="12" a="1"/>
  <c r="AG15" i="12" s="1"/>
  <c r="AG16" i="12" a="1"/>
  <c r="AG16" i="12" s="1"/>
  <c r="AG17" i="12" a="1"/>
  <c r="AG17" i="12" s="1"/>
  <c r="AG18" i="12" a="1"/>
  <c r="AG18" i="12" s="1"/>
  <c r="AG19" i="12" a="1"/>
  <c r="AG19" i="12" s="1"/>
  <c r="H12" i="6"/>
  <c r="I12" i="6" s="1"/>
  <c r="H13" i="6"/>
  <c r="I13" i="6" s="1"/>
  <c r="H14" i="6"/>
  <c r="I14" i="6" s="1"/>
  <c r="H15" i="6"/>
  <c r="J15" i="6" s="1"/>
  <c r="H16" i="6"/>
  <c r="I16" i="6" s="1"/>
  <c r="H17" i="6"/>
  <c r="J17" i="6" s="1"/>
  <c r="H18" i="6"/>
  <c r="I18" i="6" s="1"/>
  <c r="AF11" i="12" a="1"/>
  <c r="AF11" i="12" s="1"/>
  <c r="AF12" i="12" a="1"/>
  <c r="AF12" i="12" s="1"/>
  <c r="AF13" i="12" a="1"/>
  <c r="AF13" i="12" s="1"/>
  <c r="AF14" i="12" a="1"/>
  <c r="AF14" i="12" s="1"/>
  <c r="AF15" i="12" a="1"/>
  <c r="AF15" i="12" s="1"/>
  <c r="AF16" i="12" a="1"/>
  <c r="AF16" i="12" s="1"/>
  <c r="AF17" i="12" a="1"/>
  <c r="AF17" i="12" s="1"/>
  <c r="AF18" i="12" a="1"/>
  <c r="AF18" i="12" s="1"/>
  <c r="AF19" i="12" a="1"/>
  <c r="AF19" i="12" s="1"/>
  <c r="AF10" i="12" a="1"/>
  <c r="AF10" i="12" s="1"/>
  <c r="H31" i="12"/>
  <c r="H32" i="12"/>
  <c r="H33" i="12"/>
  <c r="H36" i="12"/>
  <c r="H37" i="12"/>
  <c r="H38" i="12"/>
  <c r="H39" i="12"/>
  <c r="H40" i="12"/>
  <c r="H10" i="12"/>
  <c r="H11" i="12"/>
  <c r="H12" i="12"/>
  <c r="H13" i="12"/>
  <c r="H14" i="12"/>
  <c r="H15" i="12"/>
  <c r="H16" i="12"/>
  <c r="H17" i="12"/>
  <c r="H18" i="12"/>
  <c r="H19" i="12"/>
  <c r="B24" i="12" a="1"/>
  <c r="B24" i="12" s="1"/>
  <c r="A25" i="12" a="1"/>
  <c r="A25" i="12" s="1"/>
  <c r="H25" i="12" s="1"/>
  <c r="F72" i="9"/>
  <c r="F71" i="9"/>
  <c r="F70" i="9"/>
  <c r="F69" i="9"/>
  <c r="O5" i="14"/>
  <c r="O6" i="14"/>
  <c r="O7" i="14"/>
  <c r="O8" i="14"/>
  <c r="O9" i="14"/>
  <c r="O10" i="14"/>
  <c r="O11" i="14"/>
  <c r="O12" i="14"/>
  <c r="O13" i="14"/>
  <c r="O14" i="14"/>
  <c r="O15" i="14"/>
  <c r="O16" i="14"/>
  <c r="O4" i="14"/>
  <c r="H19" i="6"/>
  <c r="I19" i="6" s="1"/>
  <c r="H20" i="6"/>
  <c r="J20" i="6" s="1"/>
  <c r="H21" i="6"/>
  <c r="J21" i="6" s="1"/>
  <c r="H22" i="6"/>
  <c r="I22" i="6" s="1"/>
  <c r="H23" i="6"/>
  <c r="I23" i="6" s="1"/>
  <c r="A1" i="14"/>
  <c r="H24" i="6"/>
  <c r="I24" i="6" s="1"/>
  <c r="H25" i="6"/>
  <c r="I25" i="6" s="1"/>
  <c r="AB10" i="12"/>
  <c r="AB11" i="12"/>
  <c r="AB12" i="12"/>
  <c r="AB13" i="12"/>
  <c r="AB14" i="12"/>
  <c r="AB15" i="12"/>
  <c r="AB16" i="12"/>
  <c r="AB17" i="12"/>
  <c r="AB18" i="12"/>
  <c r="AB19" i="12"/>
  <c r="H26" i="6"/>
  <c r="I26" i="6" s="1"/>
  <c r="H27" i="6"/>
  <c r="I27" i="6" s="1"/>
  <c r="H28" i="6"/>
  <c r="I28" i="6" s="1"/>
  <c r="H29" i="6"/>
  <c r="I29" i="6" s="1"/>
  <c r="H30" i="6"/>
  <c r="I30" i="6" s="1"/>
  <c r="H28" i="12" l="1"/>
  <c r="H27" i="12"/>
  <c r="H26" i="12"/>
  <c r="J12" i="6"/>
  <c r="J13" i="6"/>
  <c r="J14" i="6"/>
  <c r="I15" i="6"/>
  <c r="J16" i="6"/>
  <c r="I17" i="6"/>
  <c r="J18" i="6"/>
  <c r="H30" i="12"/>
  <c r="H29" i="12"/>
  <c r="J19" i="6"/>
  <c r="I20" i="6"/>
  <c r="I21" i="6"/>
  <c r="J22" i="6"/>
  <c r="J23" i="6"/>
  <c r="J24" i="6"/>
  <c r="J25" i="6"/>
  <c r="J26" i="6"/>
  <c r="J27" i="6"/>
  <c r="J28" i="6"/>
  <c r="J29" i="6"/>
  <c r="J30" i="6"/>
  <c r="H41" i="12" l="1"/>
  <c r="E9" i="3" s="1"/>
  <c r="H31" i="6"/>
  <c r="I31" i="6" s="1"/>
  <c r="W5" i="12"/>
  <c r="W6" i="12"/>
  <c r="W7" i="12"/>
  <c r="W8" i="12"/>
  <c r="W9" i="12"/>
  <c r="W4" i="12"/>
  <c r="H32" i="6"/>
  <c r="I32" i="6" s="1"/>
  <c r="H33" i="6"/>
  <c r="I33" i="6" s="1"/>
  <c r="H34" i="6"/>
  <c r="I34" i="6" s="1"/>
  <c r="H35" i="6"/>
  <c r="I35" i="6" s="1"/>
  <c r="H36" i="6"/>
  <c r="J36" i="6" s="1"/>
  <c r="H37" i="6"/>
  <c r="I37" i="6" s="1"/>
  <c r="H38" i="6"/>
  <c r="I38" i="6" s="1"/>
  <c r="I2" i="13"/>
  <c r="I3" i="13" s="1"/>
  <c r="T7" i="13"/>
  <c r="T6" i="13"/>
  <c r="T5" i="13"/>
  <c r="T3" i="13"/>
  <c r="T2" i="13"/>
  <c r="P3" i="13"/>
  <c r="P4" i="13"/>
  <c r="P5" i="13"/>
  <c r="P6" i="13"/>
  <c r="P7" i="13"/>
  <c r="P2" i="13"/>
  <c r="S3" i="13"/>
  <c r="S4" i="13"/>
  <c r="S5" i="13"/>
  <c r="S6" i="13"/>
  <c r="S7" i="13"/>
  <c r="S2" i="13"/>
  <c r="O3" i="13"/>
  <c r="O4" i="13"/>
  <c r="O5" i="13"/>
  <c r="O6" i="13"/>
  <c r="O7" i="13"/>
  <c r="O2" i="13"/>
  <c r="L4" i="13"/>
  <c r="J37" i="6" l="1"/>
  <c r="J31" i="6"/>
  <c r="J35" i="6"/>
  <c r="J34" i="6"/>
  <c r="J33" i="6"/>
  <c r="J38" i="6"/>
  <c r="J32" i="6"/>
  <c r="I36" i="6"/>
  <c r="I8" i="13"/>
  <c r="I7" i="13"/>
  <c r="I6" i="13"/>
  <c r="I5" i="13"/>
  <c r="I4" i="13"/>
  <c r="D44" i="9" l="1"/>
  <c r="H13" i="14" s="1"/>
  <c r="D36" i="9"/>
  <c r="H5" i="14" s="1"/>
  <c r="D37" i="9"/>
  <c r="H6" i="14" s="1"/>
  <c r="D38" i="9"/>
  <c r="H7" i="14" s="1"/>
  <c r="D39" i="9"/>
  <c r="H8" i="14" s="1"/>
  <c r="D40" i="9"/>
  <c r="H9" i="14" s="1"/>
  <c r="D41" i="9"/>
  <c r="H10" i="14" s="1"/>
  <c r="D42" i="9"/>
  <c r="H11" i="14" s="1"/>
  <c r="D45" i="9"/>
  <c r="H14" i="14" s="1"/>
  <c r="D46" i="9"/>
  <c r="H15" i="14" s="1"/>
  <c r="D35" i="9"/>
  <c r="H4" i="14" s="1"/>
  <c r="C36" i="9"/>
  <c r="G5" i="14" s="1"/>
  <c r="C37" i="9"/>
  <c r="G6" i="14" s="1"/>
  <c r="C38" i="9"/>
  <c r="G7" i="14" s="1"/>
  <c r="C39" i="9"/>
  <c r="G8" i="14" s="1"/>
  <c r="C40" i="9"/>
  <c r="G9" i="14" s="1"/>
  <c r="C41" i="9"/>
  <c r="G10" i="14" s="1"/>
  <c r="C42" i="9"/>
  <c r="G11" i="14" s="1"/>
  <c r="C45" i="9"/>
  <c r="G14" i="14" s="1"/>
  <c r="C46" i="9"/>
  <c r="G15" i="14" s="1"/>
  <c r="C35" i="9"/>
  <c r="G4" i="14" s="1"/>
  <c r="AC10" i="12"/>
  <c r="AC11" i="12"/>
  <c r="AC12" i="12"/>
  <c r="AC13" i="12"/>
  <c r="AC14" i="12"/>
  <c r="AC15" i="12"/>
  <c r="AC16" i="12"/>
  <c r="AC17" i="12"/>
  <c r="AC18" i="12"/>
  <c r="AC19" i="12"/>
  <c r="AA11" i="12"/>
  <c r="AA12" i="12"/>
  <c r="AA13" i="12"/>
  <c r="AA14" i="12"/>
  <c r="AA15" i="12"/>
  <c r="AA16" i="12"/>
  <c r="AA17" i="12"/>
  <c r="AA18" i="12"/>
  <c r="AA19" i="12"/>
  <c r="AA10" i="12"/>
  <c r="Z19" i="12"/>
  <c r="Z10" i="12"/>
  <c r="Z11" i="12"/>
  <c r="Z12" i="12"/>
  <c r="Z13" i="12"/>
  <c r="Z14" i="12"/>
  <c r="Z15" i="12"/>
  <c r="Z16" i="12"/>
  <c r="Z17" i="12"/>
  <c r="Z18" i="12"/>
  <c r="H39" i="6"/>
  <c r="H40" i="6"/>
  <c r="J40" i="6" s="1"/>
  <c r="H41" i="6"/>
  <c r="J41" i="6" s="1"/>
  <c r="H42" i="6"/>
  <c r="J42" i="6" s="1"/>
  <c r="H43" i="6"/>
  <c r="J43" i="6" s="1"/>
  <c r="H44" i="6"/>
  <c r="J44" i="6" s="1"/>
  <c r="H45" i="6"/>
  <c r="J45" i="6" s="1"/>
  <c r="H46" i="6"/>
  <c r="J46" i="6" s="1"/>
  <c r="H47" i="6"/>
  <c r="J47" i="6" s="1"/>
  <c r="H48" i="6"/>
  <c r="J48" i="6" s="1"/>
  <c r="H49" i="6"/>
  <c r="J49" i="6" s="1"/>
  <c r="H50" i="6"/>
  <c r="J50" i="6" s="1"/>
  <c r="H51" i="6"/>
  <c r="J51" i="6" s="1"/>
  <c r="H52" i="6"/>
  <c r="J52" i="6" s="1"/>
  <c r="H53" i="6"/>
  <c r="J53" i="6" s="1"/>
  <c r="H54" i="6"/>
  <c r="J54" i="6" s="1"/>
  <c r="H55" i="6"/>
  <c r="J55" i="6" s="1"/>
  <c r="H56" i="6"/>
  <c r="J56" i="6" s="1"/>
  <c r="H57" i="6"/>
  <c r="J57" i="6" s="1"/>
  <c r="H58" i="6"/>
  <c r="J58" i="6" s="1"/>
  <c r="H59" i="6"/>
  <c r="J59" i="6" s="1"/>
  <c r="H60" i="6"/>
  <c r="J60" i="6" s="1"/>
  <c r="H61" i="6"/>
  <c r="J61" i="6" s="1"/>
  <c r="H62" i="6"/>
  <c r="J62" i="6" s="1"/>
  <c r="H63" i="6"/>
  <c r="J63" i="6" s="1"/>
  <c r="H64" i="6"/>
  <c r="J64" i="6" s="1"/>
  <c r="H65" i="6"/>
  <c r="J65" i="6" s="1"/>
  <c r="H66" i="6"/>
  <c r="J66" i="6" s="1"/>
  <c r="H67" i="6"/>
  <c r="J67" i="6" s="1"/>
  <c r="H68" i="6"/>
  <c r="J68" i="6" s="1"/>
  <c r="H69" i="6"/>
  <c r="J69" i="6" s="1"/>
  <c r="H70" i="6"/>
  <c r="J70" i="6" s="1"/>
  <c r="H71" i="6"/>
  <c r="J71" i="6" s="1"/>
  <c r="H72" i="6"/>
  <c r="J72" i="6" s="1"/>
  <c r="H73" i="6"/>
  <c r="J73" i="6" s="1"/>
  <c r="H74" i="6"/>
  <c r="J74" i="6" s="1"/>
  <c r="H75" i="6"/>
  <c r="J75" i="6" s="1"/>
  <c r="H76" i="6"/>
  <c r="J76" i="6" s="1"/>
  <c r="H77" i="6"/>
  <c r="J77" i="6" s="1"/>
  <c r="H78" i="6"/>
  <c r="J78" i="6" s="1"/>
  <c r="H79" i="6"/>
  <c r="J79" i="6" s="1"/>
  <c r="H80" i="6"/>
  <c r="J80" i="6" s="1"/>
  <c r="H81" i="6"/>
  <c r="J81" i="6" s="1"/>
  <c r="H82" i="6"/>
  <c r="J82" i="6" s="1"/>
  <c r="H83" i="6"/>
  <c r="J83" i="6" s="1"/>
  <c r="H84" i="6"/>
  <c r="J84" i="6" s="1"/>
  <c r="H85" i="6"/>
  <c r="J85" i="6" s="1"/>
  <c r="H86" i="6"/>
  <c r="J86" i="6" s="1"/>
  <c r="H87" i="6"/>
  <c r="J87" i="6" s="1"/>
  <c r="H88" i="6"/>
  <c r="J88" i="6" s="1"/>
  <c r="H89" i="6"/>
  <c r="J89" i="6" s="1"/>
  <c r="H90" i="6"/>
  <c r="J90" i="6" s="1"/>
  <c r="H91" i="6"/>
  <c r="J91" i="6" s="1"/>
  <c r="H92" i="6"/>
  <c r="J92" i="6" s="1"/>
  <c r="H93" i="6"/>
  <c r="J93" i="6" s="1"/>
  <c r="H94" i="6"/>
  <c r="J94" i="6" s="1"/>
  <c r="H95" i="6"/>
  <c r="J95" i="6" s="1"/>
  <c r="H96" i="6"/>
  <c r="J96" i="6" s="1"/>
  <c r="H97" i="6"/>
  <c r="J97" i="6" s="1"/>
  <c r="H98" i="6"/>
  <c r="J98" i="6" s="1"/>
  <c r="H99" i="6"/>
  <c r="J99" i="6" s="1"/>
  <c r="H100" i="6"/>
  <c r="J100" i="6" s="1"/>
  <c r="H101" i="6"/>
  <c r="J101" i="6" s="1"/>
  <c r="H102" i="6"/>
  <c r="J102" i="6" s="1"/>
  <c r="H103" i="6"/>
  <c r="J103" i="6" s="1"/>
  <c r="H104" i="6"/>
  <c r="J104" i="6" s="1"/>
  <c r="L5" i="13"/>
  <c r="J39" i="6" l="1"/>
  <c r="I49" i="6"/>
  <c r="I104" i="6"/>
  <c r="B35" i="9" s="1"/>
  <c r="E35" i="9" s="1"/>
  <c r="I76" i="6"/>
  <c r="I48" i="6"/>
  <c r="I103" i="6"/>
  <c r="B36" i="9" s="1"/>
  <c r="B71" i="9"/>
  <c r="I47" i="6"/>
  <c r="I102" i="6"/>
  <c r="B37" i="9" s="1"/>
  <c r="B72" i="9"/>
  <c r="I60" i="6"/>
  <c r="I91" i="6"/>
  <c r="I63" i="6"/>
  <c r="I90" i="6"/>
  <c r="I62" i="6"/>
  <c r="I89" i="6"/>
  <c r="I61" i="6"/>
  <c r="I88" i="6"/>
  <c r="I101" i="6"/>
  <c r="B38" i="9" s="1"/>
  <c r="I87" i="6"/>
  <c r="I73" i="6"/>
  <c r="I59" i="6"/>
  <c r="I45" i="6"/>
  <c r="I100" i="6"/>
  <c r="B39" i="9" s="1"/>
  <c r="B74" i="9"/>
  <c r="I86" i="6"/>
  <c r="I72" i="6"/>
  <c r="I58" i="6"/>
  <c r="I44" i="6"/>
  <c r="I85" i="6"/>
  <c r="I84" i="6"/>
  <c r="I56" i="6"/>
  <c r="I97" i="6"/>
  <c r="B42" i="9" s="1"/>
  <c r="I69" i="6"/>
  <c r="I41" i="6"/>
  <c r="I96" i="6"/>
  <c r="I68" i="6"/>
  <c r="I40" i="6"/>
  <c r="I95" i="6"/>
  <c r="I67" i="6"/>
  <c r="I53" i="6"/>
  <c r="I94" i="6"/>
  <c r="B45" i="9" s="1"/>
  <c r="B80" i="9"/>
  <c r="I52" i="6"/>
  <c r="I93" i="6"/>
  <c r="B46" i="9" s="1"/>
  <c r="B81" i="9"/>
  <c r="I79" i="6"/>
  <c r="I65" i="6"/>
  <c r="I51" i="6"/>
  <c r="I99" i="6"/>
  <c r="B40" i="9" s="1"/>
  <c r="I71" i="6"/>
  <c r="I57" i="6"/>
  <c r="I43" i="6"/>
  <c r="I98" i="6"/>
  <c r="B41" i="9" s="1"/>
  <c r="B76" i="9"/>
  <c r="I70" i="6"/>
  <c r="I42" i="6"/>
  <c r="I83" i="6"/>
  <c r="I55" i="6"/>
  <c r="I54" i="6"/>
  <c r="I81" i="6"/>
  <c r="I39" i="6"/>
  <c r="I80" i="6"/>
  <c r="I66" i="6"/>
  <c r="I92" i="6"/>
  <c r="I78" i="6"/>
  <c r="I64" i="6"/>
  <c r="I50" i="6"/>
  <c r="I46" i="6"/>
  <c r="N11" i="13" s="1" a="1"/>
  <c r="N11" i="13" s="1"/>
  <c r="T4" i="13"/>
  <c r="C44" i="9"/>
  <c r="G13" i="14" s="1"/>
  <c r="I82" i="6"/>
  <c r="I77" i="6"/>
  <c r="I75" i="6"/>
  <c r="I74" i="6"/>
  <c r="B70" i="9"/>
  <c r="B73" i="9"/>
  <c r="B75" i="9"/>
  <c r="B77" i="9"/>
  <c r="V20" i="12"/>
  <c r="AA29" i="12"/>
  <c r="AB26" i="12"/>
  <c r="AA23" i="12"/>
  <c r="V23" i="12"/>
  <c r="A4" i="12" a="1"/>
  <c r="B3" i="12" a="1"/>
  <c r="B3" i="12" s="1"/>
  <c r="Z2" i="12"/>
  <c r="AE10" i="12"/>
  <c r="AE11" i="12"/>
  <c r="AE12" i="12"/>
  <c r="AE13" i="12"/>
  <c r="AE14" i="12"/>
  <c r="AE15" i="12"/>
  <c r="AE16" i="12"/>
  <c r="AE17" i="12"/>
  <c r="AE18" i="12"/>
  <c r="AE19" i="12"/>
  <c r="AD10" i="12"/>
  <c r="AD11" i="12"/>
  <c r="AD12" i="12"/>
  <c r="AD13" i="12"/>
  <c r="AD14" i="12"/>
  <c r="AD15" i="12"/>
  <c r="AD16" i="12"/>
  <c r="AD17" i="12"/>
  <c r="AD18" i="12"/>
  <c r="AD19" i="12"/>
  <c r="Y4" i="12" a="1"/>
  <c r="Q5" i="12"/>
  <c r="Q6" i="12"/>
  <c r="Q7" i="12"/>
  <c r="Q8" i="12"/>
  <c r="Q9" i="12"/>
  <c r="Q4" i="12"/>
  <c r="K3" i="12" a="1"/>
  <c r="K3" i="12" s="1"/>
  <c r="J4" i="12" a="1"/>
  <c r="J4" i="12" s="1"/>
  <c r="U14" i="12" s="1" a="1"/>
  <c r="U14" i="12" s="1"/>
  <c r="W14" i="12" s="1"/>
  <c r="T4" i="12" a="1"/>
  <c r="T4" i="12" s="1"/>
  <c r="K6" i="7"/>
  <c r="A4" i="12" l="1"/>
  <c r="H4" i="12" s="1"/>
  <c r="H6" i="12"/>
  <c r="H7" i="12"/>
  <c r="H8" i="12"/>
  <c r="H9" i="12"/>
  <c r="H5" i="12"/>
  <c r="E41" i="9"/>
  <c r="I10" i="14" s="1"/>
  <c r="F10" i="14"/>
  <c r="E36" i="9"/>
  <c r="I5" i="14" s="1"/>
  <c r="F5" i="14"/>
  <c r="I4" i="14"/>
  <c r="F4" i="14"/>
  <c r="E45" i="9"/>
  <c r="I14" i="14" s="1"/>
  <c r="F14" i="14"/>
  <c r="E39" i="9"/>
  <c r="I8" i="14" s="1"/>
  <c r="F8" i="14"/>
  <c r="E37" i="9"/>
  <c r="I6" i="14" s="1"/>
  <c r="F6" i="14"/>
  <c r="E40" i="9"/>
  <c r="I9" i="14" s="1"/>
  <c r="F9" i="14"/>
  <c r="E42" i="9"/>
  <c r="I11" i="14" s="1"/>
  <c r="F11" i="14"/>
  <c r="E38" i="9"/>
  <c r="I7" i="14" s="1"/>
  <c r="F7" i="14"/>
  <c r="E46" i="9"/>
  <c r="I15" i="14" s="1"/>
  <c r="F15" i="14"/>
  <c r="AB8" i="12"/>
  <c r="AB9" i="12"/>
  <c r="AC7" i="12"/>
  <c r="AB5" i="12"/>
  <c r="AB6" i="12"/>
  <c r="AB7" i="12"/>
  <c r="Y4" i="12"/>
  <c r="AC5" i="12"/>
  <c r="AA8" i="12"/>
  <c r="AA9" i="12"/>
  <c r="AA5" i="12"/>
  <c r="AA6" i="12"/>
  <c r="AA7" i="12"/>
  <c r="AC9" i="12"/>
  <c r="AC6" i="12"/>
  <c r="AC8" i="12"/>
  <c r="B44" i="9"/>
  <c r="D43" i="9"/>
  <c r="B78" i="9"/>
  <c r="B79" i="9"/>
  <c r="C43" i="9"/>
  <c r="G12" i="14" s="1"/>
  <c r="Q20" i="12"/>
  <c r="AD7" i="12"/>
  <c r="U12" i="12" a="1"/>
  <c r="U12" i="12" s="1"/>
  <c r="W12" i="12" s="1"/>
  <c r="U11" i="12" a="1"/>
  <c r="U11" i="12" s="1"/>
  <c r="W11" i="12" s="1"/>
  <c r="Z9" i="12"/>
  <c r="Z8" i="12"/>
  <c r="Z6" i="12"/>
  <c r="Z5" i="12"/>
  <c r="AD9" i="12"/>
  <c r="AD5" i="12"/>
  <c r="AD8" i="12"/>
  <c r="U13" i="12" a="1"/>
  <c r="U13" i="12" s="1"/>
  <c r="W13" i="12" s="1"/>
  <c r="AD6" i="12"/>
  <c r="AE9" i="12"/>
  <c r="U19" i="12" a="1"/>
  <c r="U19" i="12" s="1"/>
  <c r="W19" i="12" s="1"/>
  <c r="Z7" i="12"/>
  <c r="AE8" i="12"/>
  <c r="AE7" i="12"/>
  <c r="U10" i="12" a="1"/>
  <c r="U10" i="12" s="1"/>
  <c r="W10" i="12" s="1"/>
  <c r="AE6" i="12"/>
  <c r="U18" i="12" a="1"/>
  <c r="U18" i="12" s="1"/>
  <c r="W18" i="12" s="1"/>
  <c r="U16" i="12" a="1"/>
  <c r="U16" i="12" s="1"/>
  <c r="W16" i="12" s="1"/>
  <c r="AE5" i="12"/>
  <c r="U17" i="12" a="1"/>
  <c r="U17" i="12" s="1"/>
  <c r="W17" i="12" s="1"/>
  <c r="U15" i="12" a="1"/>
  <c r="U15" i="12" s="1"/>
  <c r="W15" i="12" s="1"/>
  <c r="B53" i="9"/>
  <c r="A55" i="9" s="1"/>
  <c r="L6" i="8"/>
  <c r="W4" i="9"/>
  <c r="AT5" i="14" s="1"/>
  <c r="W5" i="9"/>
  <c r="AT6" i="14" s="1"/>
  <c r="W6" i="9"/>
  <c r="AT7" i="14" s="1"/>
  <c r="W7" i="9"/>
  <c r="AT8" i="14" s="1"/>
  <c r="W8" i="9"/>
  <c r="AT9" i="14" s="1"/>
  <c r="W9" i="9"/>
  <c r="AT10" i="14" s="1"/>
  <c r="W10" i="9"/>
  <c r="AT11" i="14" s="1"/>
  <c r="W11" i="9"/>
  <c r="AT12" i="14" s="1"/>
  <c r="W12" i="9"/>
  <c r="AT13" i="14" s="1"/>
  <c r="W13" i="9"/>
  <c r="AT14" i="14" s="1"/>
  <c r="W14" i="9"/>
  <c r="AT15" i="14" s="1"/>
  <c r="V4" i="9"/>
  <c r="AS5" i="14" s="1"/>
  <c r="V5" i="9"/>
  <c r="AS6" i="14" s="1"/>
  <c r="V6" i="9"/>
  <c r="AS7" i="14" s="1"/>
  <c r="V7" i="9"/>
  <c r="AS8" i="14" s="1"/>
  <c r="V8" i="9"/>
  <c r="AS9" i="14" s="1"/>
  <c r="V9" i="9"/>
  <c r="AS10" i="14" s="1"/>
  <c r="V10" i="9"/>
  <c r="AS11" i="14" s="1"/>
  <c r="V11" i="9"/>
  <c r="AS12" i="14" s="1"/>
  <c r="V12" i="9"/>
  <c r="AS13" i="14" s="1"/>
  <c r="V13" i="9"/>
  <c r="AS14" i="14" s="1"/>
  <c r="V14" i="9"/>
  <c r="AS15" i="14" s="1"/>
  <c r="W3" i="9"/>
  <c r="AT4" i="14" s="1"/>
  <c r="V3" i="9"/>
  <c r="AS4" i="14" s="1"/>
  <c r="U4" i="9"/>
  <c r="AR5" i="14" s="1"/>
  <c r="U5" i="9"/>
  <c r="AR6" i="14" s="1"/>
  <c r="U6" i="9"/>
  <c r="AR7" i="14" s="1"/>
  <c r="U7" i="9"/>
  <c r="AR8" i="14" s="1"/>
  <c r="U8" i="9"/>
  <c r="AR9" i="14" s="1"/>
  <c r="U9" i="9"/>
  <c r="AR10" i="14" s="1"/>
  <c r="U10" i="9"/>
  <c r="AR11" i="14" s="1"/>
  <c r="U11" i="9"/>
  <c r="AR12" i="14" s="1"/>
  <c r="U12" i="9"/>
  <c r="AR13" i="14" s="1"/>
  <c r="U13" i="9"/>
  <c r="AR14" i="14" s="1"/>
  <c r="U14" i="9"/>
  <c r="AR15" i="14" s="1"/>
  <c r="U3" i="9"/>
  <c r="AR4" i="14" s="1"/>
  <c r="B4" i="9"/>
  <c r="B5" i="9"/>
  <c r="B6" i="9"/>
  <c r="B7" i="9"/>
  <c r="B8" i="9"/>
  <c r="B9" i="9"/>
  <c r="B10" i="9"/>
  <c r="B11" i="9"/>
  <c r="B12" i="9"/>
  <c r="B13" i="9"/>
  <c r="B14" i="9"/>
  <c r="B1" i="10"/>
  <c r="N17" i="9" s="1"/>
  <c r="G35" i="9"/>
  <c r="G36" i="9" s="1"/>
  <c r="B19" i="9"/>
  <c r="B4" i="14" s="1"/>
  <c r="G19" i="9"/>
  <c r="N4" i="14" s="1"/>
  <c r="G20" i="9"/>
  <c r="N5" i="14" s="1"/>
  <c r="G21" i="9"/>
  <c r="N6" i="14" s="1"/>
  <c r="B20" i="9"/>
  <c r="B5" i="14" s="1"/>
  <c r="B21" i="9"/>
  <c r="B6" i="14" s="1"/>
  <c r="N5" i="9"/>
  <c r="N6" i="9"/>
  <c r="N7" i="9"/>
  <c r="N8" i="9"/>
  <c r="N9" i="9"/>
  <c r="N10" i="9"/>
  <c r="N11" i="9"/>
  <c r="N12" i="9"/>
  <c r="N13" i="9"/>
  <c r="N14" i="9"/>
  <c r="H3" i="9"/>
  <c r="H6" i="9"/>
  <c r="B3" i="9"/>
  <c r="H8" i="9"/>
  <c r="H11" i="9"/>
  <c r="H35" i="9"/>
  <c r="H36" i="9" s="1"/>
  <c r="H37" i="9" s="1"/>
  <c r="H38" i="9" s="1"/>
  <c r="H39" i="9" s="1"/>
  <c r="H40" i="9" s="1"/>
  <c r="H41" i="9" s="1"/>
  <c r="H42" i="9" s="1"/>
  <c r="H43" i="9" s="1"/>
  <c r="H44" i="9" s="1"/>
  <c r="H45" i="9" s="1"/>
  <c r="H46" i="9" s="1"/>
  <c r="G22" i="9"/>
  <c r="N7" i="14" s="1"/>
  <c r="G23" i="9"/>
  <c r="N8" i="14" s="1"/>
  <c r="G24" i="9"/>
  <c r="N9" i="14" s="1"/>
  <c r="G25" i="9"/>
  <c r="N10" i="14" s="1"/>
  <c r="G26" i="9"/>
  <c r="N11" i="14" s="1"/>
  <c r="G27" i="9"/>
  <c r="N12" i="14" s="1"/>
  <c r="G28" i="9"/>
  <c r="N13" i="14" s="1"/>
  <c r="G29" i="9"/>
  <c r="N14" i="14" s="1"/>
  <c r="G30" i="9"/>
  <c r="N15" i="14" s="1"/>
  <c r="B22" i="9"/>
  <c r="B7" i="14" s="1"/>
  <c r="B23" i="9"/>
  <c r="C23" i="9" s="1"/>
  <c r="C8" i="14" s="1"/>
  <c r="B24" i="9"/>
  <c r="B9" i="14" s="1"/>
  <c r="B25" i="9"/>
  <c r="B10" i="14" s="1"/>
  <c r="B26" i="9"/>
  <c r="B11" i="14" s="1"/>
  <c r="B27" i="9"/>
  <c r="B12" i="14" s="1"/>
  <c r="B28" i="9"/>
  <c r="B13" i="14" s="1"/>
  <c r="B29" i="9"/>
  <c r="C29" i="9" s="1"/>
  <c r="C14" i="14" s="1"/>
  <c r="B30" i="9"/>
  <c r="B15" i="14" s="1"/>
  <c r="H13" i="9"/>
  <c r="N4" i="9"/>
  <c r="N3" i="9"/>
  <c r="H4" i="9"/>
  <c r="H5" i="9"/>
  <c r="H7" i="9"/>
  <c r="H9" i="9"/>
  <c r="H10" i="9"/>
  <c r="H12" i="9"/>
  <c r="H14" i="9"/>
  <c r="H20" i="12" l="1"/>
  <c r="E7" i="3" s="1"/>
  <c r="AF8" i="12" a="1"/>
  <c r="AF8" i="12" s="1"/>
  <c r="AG8" i="12" s="1" a="1"/>
  <c r="AG8" i="12" s="1"/>
  <c r="AF9" i="12" a="1"/>
  <c r="AF9" i="12" s="1"/>
  <c r="AG9" i="12" s="1" a="1"/>
  <c r="AG9" i="12" s="1"/>
  <c r="AF7" i="12" a="1"/>
  <c r="AF7" i="12" s="1"/>
  <c r="AG7" i="12" s="1" a="1"/>
  <c r="AG7" i="12" s="1"/>
  <c r="AF6" i="12" a="1"/>
  <c r="AF6" i="12" s="1"/>
  <c r="AG6" i="12" s="1" a="1"/>
  <c r="AG6" i="12" s="1"/>
  <c r="AF5" i="12" a="1"/>
  <c r="AF5" i="12" s="1"/>
  <c r="AG5" i="12" s="1" a="1"/>
  <c r="AG5" i="12" s="1"/>
  <c r="AD4" i="12"/>
  <c r="C28" i="9"/>
  <c r="C13" i="14" s="1"/>
  <c r="C27" i="9"/>
  <c r="C12" i="14" s="1"/>
  <c r="C25" i="9"/>
  <c r="C10" i="14" s="1"/>
  <c r="D29" i="9"/>
  <c r="B14" i="14"/>
  <c r="C19" i="9"/>
  <c r="C4" i="14" s="1"/>
  <c r="C22" i="9"/>
  <c r="C7" i="14" s="1"/>
  <c r="C24" i="9"/>
  <c r="C9" i="14" s="1"/>
  <c r="C21" i="9"/>
  <c r="C6" i="14" s="1"/>
  <c r="D23" i="9"/>
  <c r="B8" i="14"/>
  <c r="C26" i="9"/>
  <c r="C11" i="14" s="1"/>
  <c r="C20" i="9"/>
  <c r="C5" i="14" s="1"/>
  <c r="C30" i="9"/>
  <c r="C15" i="14" s="1"/>
  <c r="E44" i="9"/>
  <c r="I13" i="14" s="1"/>
  <c r="F13" i="14"/>
  <c r="D47" i="9"/>
  <c r="H12" i="14"/>
  <c r="AB4" i="12"/>
  <c r="AE4" i="12"/>
  <c r="AA4" i="12"/>
  <c r="AC4" i="12"/>
  <c r="Z4" i="12"/>
  <c r="O24" i="9"/>
  <c r="B43" i="9"/>
  <c r="A65" i="9"/>
  <c r="A64" i="9"/>
  <c r="A63" i="9"/>
  <c r="A54" i="9"/>
  <c r="A62" i="9"/>
  <c r="A61" i="9"/>
  <c r="A60" i="9"/>
  <c r="A59" i="9"/>
  <c r="A58" i="9"/>
  <c r="A57" i="9"/>
  <c r="A56" i="9"/>
  <c r="X9" i="9"/>
  <c r="X10" i="9"/>
  <c r="X5" i="9"/>
  <c r="X12" i="9"/>
  <c r="X8" i="9"/>
  <c r="X4" i="9"/>
  <c r="X14" i="9"/>
  <c r="X13" i="9"/>
  <c r="X11" i="9"/>
  <c r="X7" i="9"/>
  <c r="X6" i="9"/>
  <c r="X3" i="9"/>
  <c r="H47" i="9"/>
  <c r="N46" i="9" s="1"/>
  <c r="B31" i="9"/>
  <c r="M27" i="9"/>
  <c r="C47" i="9"/>
  <c r="N24" i="9"/>
  <c r="N30" i="9"/>
  <c r="M30" i="9"/>
  <c r="M21" i="9"/>
  <c r="J3" i="9" a="1"/>
  <c r="J3" i="9" s="1"/>
  <c r="G31" i="9"/>
  <c r="N16" i="14" s="1"/>
  <c r="I35" i="9"/>
  <c r="P3" i="9" a="1"/>
  <c r="P3" i="9" s="1"/>
  <c r="D3" i="9" a="1"/>
  <c r="D3" i="9" s="1"/>
  <c r="AF4" i="12" l="1" a="1"/>
  <c r="AF4" i="12" s="1"/>
  <c r="AG4" i="12" s="1" a="1"/>
  <c r="AG4" i="12" s="1"/>
  <c r="AG20" i="12" s="1"/>
  <c r="D8" i="14"/>
  <c r="G106" i="9"/>
  <c r="G122" i="9"/>
  <c r="N74" i="9"/>
  <c r="AM8" i="14" s="1"/>
  <c r="L74" i="9"/>
  <c r="AK8" i="14" s="1"/>
  <c r="M74" i="9"/>
  <c r="AL8" i="14" s="1"/>
  <c r="G90" i="9"/>
  <c r="I23" i="9"/>
  <c r="O74" i="9"/>
  <c r="AN8" i="14" s="1"/>
  <c r="P74" i="9"/>
  <c r="AO8" i="14" s="1"/>
  <c r="G74" i="9"/>
  <c r="D14" i="14"/>
  <c r="O80" i="9"/>
  <c r="AN14" i="14" s="1"/>
  <c r="I29" i="9"/>
  <c r="P80" i="9"/>
  <c r="AO14" i="14" s="1"/>
  <c r="G128" i="9"/>
  <c r="L80" i="9"/>
  <c r="AK14" i="14" s="1"/>
  <c r="N80" i="9"/>
  <c r="AM14" i="14" s="1"/>
  <c r="G80" i="9"/>
  <c r="M80" i="9"/>
  <c r="AL14" i="14" s="1"/>
  <c r="G96" i="9"/>
  <c r="G112" i="9"/>
  <c r="N21" i="9"/>
  <c r="P21" i="9" s="1"/>
  <c r="S20" i="9" s="1"/>
  <c r="D19" i="9"/>
  <c r="D24" i="9"/>
  <c r="D26" i="9"/>
  <c r="D25" i="9"/>
  <c r="D30" i="9"/>
  <c r="D28" i="9"/>
  <c r="D27" i="9"/>
  <c r="D21" i="9"/>
  <c r="D22" i="9"/>
  <c r="M37" i="9"/>
  <c r="B16" i="14"/>
  <c r="C31" i="9"/>
  <c r="C16" i="14" s="1"/>
  <c r="D20" i="9"/>
  <c r="N40" i="9"/>
  <c r="G16" i="14"/>
  <c r="O40" i="9"/>
  <c r="H16" i="14"/>
  <c r="E43" i="9"/>
  <c r="I12" i="14" s="1"/>
  <c r="F12" i="14"/>
  <c r="Z3" i="9" a="1"/>
  <c r="Z3" i="9" s="1"/>
  <c r="N53" i="9"/>
  <c r="B22" i="14" s="1"/>
  <c r="M43" i="9"/>
  <c r="M24" i="9"/>
  <c r="P24" i="9" s="1"/>
  <c r="B47" i="9"/>
  <c r="G37" i="9"/>
  <c r="I36" i="9"/>
  <c r="K4" i="8"/>
  <c r="J4" i="7"/>
  <c r="AF20" i="12" l="1"/>
  <c r="D10" i="14"/>
  <c r="M76" i="9"/>
  <c r="AL10" i="14" s="1"/>
  <c r="P76" i="9"/>
  <c r="AO10" i="14" s="1"/>
  <c r="L76" i="9"/>
  <c r="AK10" i="14" s="1"/>
  <c r="G92" i="9"/>
  <c r="G76" i="9"/>
  <c r="G108" i="9"/>
  <c r="N76" i="9"/>
  <c r="AM10" i="14" s="1"/>
  <c r="G124" i="9"/>
  <c r="O76" i="9"/>
  <c r="AN10" i="14" s="1"/>
  <c r="I25" i="9"/>
  <c r="D11" i="14"/>
  <c r="G93" i="9"/>
  <c r="G77" i="9"/>
  <c r="G109" i="9"/>
  <c r="G125" i="9"/>
  <c r="L77" i="9"/>
  <c r="AK11" i="14" s="1"/>
  <c r="M77" i="9"/>
  <c r="AL11" i="14" s="1"/>
  <c r="I26" i="9"/>
  <c r="P77" i="9"/>
  <c r="AO11" i="14" s="1"/>
  <c r="N77" i="9"/>
  <c r="AM11" i="14" s="1"/>
  <c r="O77" i="9"/>
  <c r="AN11" i="14" s="1"/>
  <c r="D9" i="14"/>
  <c r="G91" i="9"/>
  <c r="G75" i="9"/>
  <c r="G107" i="9"/>
  <c r="G123" i="9"/>
  <c r="N75" i="9"/>
  <c r="AM9" i="14" s="1"/>
  <c r="O75" i="9"/>
  <c r="AN9" i="14" s="1"/>
  <c r="P75" i="9"/>
  <c r="AO9" i="14" s="1"/>
  <c r="I24" i="9"/>
  <c r="L75" i="9"/>
  <c r="AK9" i="14" s="1"/>
  <c r="M75" i="9"/>
  <c r="AL9" i="14" s="1"/>
  <c r="H74" i="9"/>
  <c r="J74" i="9"/>
  <c r="T8" i="14" s="1"/>
  <c r="Q8" i="14"/>
  <c r="H96" i="9"/>
  <c r="J96" i="9"/>
  <c r="Y14" i="14" s="1"/>
  <c r="V14" i="14"/>
  <c r="Q80" i="9"/>
  <c r="AP14" i="14" s="1"/>
  <c r="J29" i="9"/>
  <c r="L14" i="14" s="1"/>
  <c r="K14" i="14"/>
  <c r="D15" i="14"/>
  <c r="L81" i="9"/>
  <c r="AK15" i="14" s="1"/>
  <c r="I30" i="9"/>
  <c r="M81" i="9"/>
  <c r="AL15" i="14" s="1"/>
  <c r="N81" i="9"/>
  <c r="AM15" i="14" s="1"/>
  <c r="G113" i="9"/>
  <c r="G129" i="9"/>
  <c r="O81" i="9"/>
  <c r="AN15" i="14" s="1"/>
  <c r="G97" i="9"/>
  <c r="P81" i="9"/>
  <c r="AO15" i="14" s="1"/>
  <c r="G81" i="9"/>
  <c r="D4" i="14"/>
  <c r="P70" i="9"/>
  <c r="AO4" i="14" s="1"/>
  <c r="O70" i="9"/>
  <c r="AN4" i="14" s="1"/>
  <c r="N70" i="9"/>
  <c r="AM4" i="14" s="1"/>
  <c r="M70" i="9"/>
  <c r="AL4" i="14" s="1"/>
  <c r="G70" i="9"/>
  <c r="G118" i="9"/>
  <c r="I19" i="9"/>
  <c r="G102" i="9"/>
  <c r="G86" i="9"/>
  <c r="L70" i="9"/>
  <c r="AK4" i="14" s="1"/>
  <c r="D5" i="14"/>
  <c r="M71" i="9"/>
  <c r="AL5" i="14" s="1"/>
  <c r="N71" i="9"/>
  <c r="AM5" i="14" s="1"/>
  <c r="O71" i="9"/>
  <c r="AN5" i="14" s="1"/>
  <c r="P71" i="9"/>
  <c r="AO5" i="14" s="1"/>
  <c r="L71" i="9"/>
  <c r="AK5" i="14" s="1"/>
  <c r="G103" i="9"/>
  <c r="G119" i="9"/>
  <c r="G71" i="9"/>
  <c r="I20" i="9"/>
  <c r="G87" i="9"/>
  <c r="D6" i="14"/>
  <c r="L72" i="9"/>
  <c r="AK6" i="14" s="1"/>
  <c r="G88" i="9"/>
  <c r="I21" i="9"/>
  <c r="M72" i="9"/>
  <c r="AL6" i="14" s="1"/>
  <c r="G72" i="9"/>
  <c r="N72" i="9"/>
  <c r="AM6" i="14" s="1"/>
  <c r="G104" i="9"/>
  <c r="O72" i="9"/>
  <c r="AN6" i="14" s="1"/>
  <c r="P72" i="9"/>
  <c r="AO6" i="14" s="1"/>
  <c r="G120" i="9"/>
  <c r="H122" i="9"/>
  <c r="J122" i="9"/>
  <c r="AI8" i="14" s="1"/>
  <c r="AF8" i="14"/>
  <c r="K8" i="14"/>
  <c r="Q74" i="9"/>
  <c r="AP8" i="14" s="1"/>
  <c r="J23" i="9"/>
  <c r="L8" i="14" s="1"/>
  <c r="AA8" i="14"/>
  <c r="H106" i="9"/>
  <c r="J106" i="9"/>
  <c r="AD8" i="14" s="1"/>
  <c r="AA14" i="14"/>
  <c r="J112" i="9"/>
  <c r="AD14" i="14" s="1"/>
  <c r="H112" i="9"/>
  <c r="V8" i="14"/>
  <c r="H90" i="9"/>
  <c r="J90" i="9"/>
  <c r="Y8" i="14" s="1"/>
  <c r="J80" i="9"/>
  <c r="T14" i="14" s="1"/>
  <c r="H80" i="9"/>
  <c r="Q14" i="14"/>
  <c r="D7" i="14"/>
  <c r="O73" i="9"/>
  <c r="AN7" i="14" s="1"/>
  <c r="G121" i="9"/>
  <c r="P73" i="9"/>
  <c r="AO7" i="14" s="1"/>
  <c r="G89" i="9"/>
  <c r="I22" i="9"/>
  <c r="M73" i="9"/>
  <c r="AL7" i="14" s="1"/>
  <c r="G105" i="9"/>
  <c r="N73" i="9"/>
  <c r="AM7" i="14" s="1"/>
  <c r="G73" i="9"/>
  <c r="L73" i="9"/>
  <c r="AK7" i="14" s="1"/>
  <c r="D12" i="14"/>
  <c r="M78" i="9"/>
  <c r="AL12" i="14" s="1"/>
  <c r="I27" i="9"/>
  <c r="N78" i="9"/>
  <c r="AM12" i="14" s="1"/>
  <c r="O78" i="9"/>
  <c r="AN12" i="14" s="1"/>
  <c r="P78" i="9"/>
  <c r="AO12" i="14" s="1"/>
  <c r="G94" i="9"/>
  <c r="G78" i="9"/>
  <c r="G110" i="9"/>
  <c r="L78" i="9"/>
  <c r="AK12" i="14" s="1"/>
  <c r="G126" i="9"/>
  <c r="H128" i="9"/>
  <c r="AF14" i="14"/>
  <c r="J128" i="9"/>
  <c r="AI14" i="14" s="1"/>
  <c r="D13" i="14"/>
  <c r="I28" i="9"/>
  <c r="G95" i="9"/>
  <c r="G79" i="9"/>
  <c r="L79" i="9"/>
  <c r="AK13" i="14" s="1"/>
  <c r="P79" i="9"/>
  <c r="AO13" i="14" s="1"/>
  <c r="G127" i="9"/>
  <c r="G111" i="9"/>
  <c r="M79" i="9"/>
  <c r="AL13" i="14" s="1"/>
  <c r="N79" i="9"/>
  <c r="AM13" i="14" s="1"/>
  <c r="O79" i="9"/>
  <c r="AN13" i="14" s="1"/>
  <c r="N37" i="9"/>
  <c r="P37" i="9" s="1"/>
  <c r="D31" i="9"/>
  <c r="E47" i="9"/>
  <c r="I16" i="14" s="1"/>
  <c r="M40" i="9"/>
  <c r="P40" i="9" s="1"/>
  <c r="F16" i="14"/>
  <c r="S21" i="9"/>
  <c r="U20" i="9"/>
  <c r="X20" i="9" s="1"/>
  <c r="U21" i="9"/>
  <c r="U18" i="9"/>
  <c r="X18" i="9" s="1"/>
  <c r="U19" i="9"/>
  <c r="X19" i="9" s="1"/>
  <c r="S19" i="9"/>
  <c r="S18" i="9"/>
  <c r="G38" i="9"/>
  <c r="I37" i="9"/>
  <c r="Q4" i="6"/>
  <c r="K4" i="2"/>
  <c r="AF9" i="14" l="1"/>
  <c r="H123" i="9"/>
  <c r="J123" i="9"/>
  <c r="AI9" i="14" s="1"/>
  <c r="AA9" i="14"/>
  <c r="J107" i="9"/>
  <c r="AD9" i="14" s="1"/>
  <c r="H107" i="9"/>
  <c r="H72" i="9"/>
  <c r="J72" i="9"/>
  <c r="T6" i="14" s="1"/>
  <c r="Q6" i="14"/>
  <c r="H75" i="9"/>
  <c r="J75" i="9"/>
  <c r="T9" i="14" s="1"/>
  <c r="Q9" i="14"/>
  <c r="J94" i="9"/>
  <c r="Y12" i="14" s="1"/>
  <c r="V12" i="14"/>
  <c r="H94" i="9"/>
  <c r="I106" i="9"/>
  <c r="AC8" i="14" s="1"/>
  <c r="AB8" i="14"/>
  <c r="J91" i="9"/>
  <c r="Y9" i="14" s="1"/>
  <c r="H91" i="9"/>
  <c r="V9" i="14"/>
  <c r="H121" i="9"/>
  <c r="J121" i="9"/>
  <c r="AI7" i="14" s="1"/>
  <c r="AF7" i="14"/>
  <c r="Q72" i="9"/>
  <c r="AP6" i="14" s="1"/>
  <c r="J21" i="9"/>
  <c r="L6" i="14" s="1"/>
  <c r="K6" i="14"/>
  <c r="H97" i="9"/>
  <c r="J97" i="9"/>
  <c r="Y15" i="14" s="1"/>
  <c r="V15" i="14"/>
  <c r="I96" i="9"/>
  <c r="X14" i="14" s="1"/>
  <c r="W14" i="14"/>
  <c r="H124" i="9"/>
  <c r="AF10" i="14"/>
  <c r="J124" i="9"/>
  <c r="AI10" i="14" s="1"/>
  <c r="V6" i="14"/>
  <c r="J88" i="9"/>
  <c r="Y6" i="14" s="1"/>
  <c r="H88" i="9"/>
  <c r="J79" i="9"/>
  <c r="T13" i="14" s="1"/>
  <c r="H79" i="9"/>
  <c r="Q13" i="14"/>
  <c r="H86" i="9"/>
  <c r="V4" i="14"/>
  <c r="J86" i="9"/>
  <c r="Y4" i="14" s="1"/>
  <c r="J129" i="9"/>
  <c r="AI15" i="14" s="1"/>
  <c r="H129" i="9"/>
  <c r="AF15" i="14"/>
  <c r="J108" i="9"/>
  <c r="AD10" i="14" s="1"/>
  <c r="H108" i="9"/>
  <c r="AA10" i="14"/>
  <c r="AA7" i="14"/>
  <c r="H105" i="9"/>
  <c r="J105" i="9"/>
  <c r="AD7" i="14" s="1"/>
  <c r="J77" i="9"/>
  <c r="T11" i="14" s="1"/>
  <c r="H77" i="9"/>
  <c r="Q11" i="14"/>
  <c r="J93" i="9"/>
  <c r="Y11" i="14" s="1"/>
  <c r="V11" i="14"/>
  <c r="H93" i="9"/>
  <c r="J110" i="9"/>
  <c r="AD12" i="14" s="1"/>
  <c r="H110" i="9"/>
  <c r="AA12" i="14"/>
  <c r="J111" i="9"/>
  <c r="AD13" i="14" s="1"/>
  <c r="H111" i="9"/>
  <c r="AA13" i="14"/>
  <c r="AF13" i="14"/>
  <c r="H127" i="9"/>
  <c r="J127" i="9"/>
  <c r="AI13" i="14" s="1"/>
  <c r="J95" i="9"/>
  <c r="Y13" i="14" s="1"/>
  <c r="H95" i="9"/>
  <c r="V13" i="14"/>
  <c r="AA4" i="14"/>
  <c r="J102" i="9"/>
  <c r="AD4" i="14" s="1"/>
  <c r="H102" i="9"/>
  <c r="I74" i="9"/>
  <c r="S8" i="14" s="1"/>
  <c r="R8" i="14"/>
  <c r="H76" i="9"/>
  <c r="J76" i="9"/>
  <c r="T10" i="14" s="1"/>
  <c r="Q10" i="14"/>
  <c r="J28" i="9"/>
  <c r="L13" i="14" s="1"/>
  <c r="K13" i="14"/>
  <c r="Q79" i="9"/>
  <c r="AP13" i="14" s="1"/>
  <c r="R14" i="14"/>
  <c r="I80" i="9"/>
  <c r="S14" i="14" s="1"/>
  <c r="V5" i="14"/>
  <c r="H87" i="9"/>
  <c r="J87" i="9"/>
  <c r="Y5" i="14" s="1"/>
  <c r="Q70" i="9"/>
  <c r="AP4" i="14" s="1"/>
  <c r="K4" i="14"/>
  <c r="J19" i="9"/>
  <c r="L4" i="14" s="1"/>
  <c r="J26" i="9"/>
  <c r="L11" i="14" s="1"/>
  <c r="K11" i="14"/>
  <c r="Q77" i="9"/>
  <c r="AP11" i="14" s="1"/>
  <c r="J92" i="9"/>
  <c r="Y10" i="14" s="1"/>
  <c r="H92" i="9"/>
  <c r="V10" i="14"/>
  <c r="AF12" i="14"/>
  <c r="H126" i="9"/>
  <c r="J126" i="9"/>
  <c r="AI12" i="14" s="1"/>
  <c r="AA6" i="14"/>
  <c r="H104" i="9"/>
  <c r="J104" i="9"/>
  <c r="AD6" i="14" s="1"/>
  <c r="Q73" i="9"/>
  <c r="AP7" i="14" s="1"/>
  <c r="J22" i="9"/>
  <c r="L7" i="14" s="1"/>
  <c r="K7" i="14"/>
  <c r="K10" i="14"/>
  <c r="Q76" i="9"/>
  <c r="AP10" i="14" s="1"/>
  <c r="J25" i="9"/>
  <c r="L10" i="14" s="1"/>
  <c r="K12" i="14"/>
  <c r="J27" i="9"/>
  <c r="L12" i="14" s="1"/>
  <c r="Q78" i="9"/>
  <c r="AP12" i="14" s="1"/>
  <c r="Q71" i="9"/>
  <c r="AP5" i="14" s="1"/>
  <c r="J20" i="9"/>
  <c r="L5" i="14" s="1"/>
  <c r="K5" i="14"/>
  <c r="AF4" i="14"/>
  <c r="J118" i="9"/>
  <c r="AI4" i="14" s="1"/>
  <c r="H118" i="9"/>
  <c r="I112" i="9"/>
  <c r="AC14" i="14" s="1"/>
  <c r="AB14" i="14"/>
  <c r="J78" i="9"/>
  <c r="T12" i="14" s="1"/>
  <c r="H78" i="9"/>
  <c r="Q12" i="14"/>
  <c r="V7" i="14"/>
  <c r="J89" i="9"/>
  <c r="Y7" i="14" s="1"/>
  <c r="H89" i="9"/>
  <c r="Q15" i="14"/>
  <c r="J81" i="9"/>
  <c r="T15" i="14" s="1"/>
  <c r="H81" i="9"/>
  <c r="AA15" i="14"/>
  <c r="H113" i="9"/>
  <c r="J113" i="9"/>
  <c r="AD15" i="14" s="1"/>
  <c r="I122" i="9"/>
  <c r="AH8" i="14" s="1"/>
  <c r="AG8" i="14"/>
  <c r="J71" i="9"/>
  <c r="T5" i="14" s="1"/>
  <c r="Q5" i="14"/>
  <c r="H71" i="9"/>
  <c r="Q4" i="14"/>
  <c r="J70" i="9"/>
  <c r="T4" i="14" s="1"/>
  <c r="H70" i="9"/>
  <c r="J30" i="9"/>
  <c r="L15" i="14" s="1"/>
  <c r="K15" i="14"/>
  <c r="Q81" i="9"/>
  <c r="AP15" i="14" s="1"/>
  <c r="Q75" i="9"/>
  <c r="AP9" i="14" s="1"/>
  <c r="K9" i="14"/>
  <c r="J24" i="9"/>
  <c r="L9" i="14" s="1"/>
  <c r="I31" i="9"/>
  <c r="G82" i="9"/>
  <c r="L82" i="9"/>
  <c r="AK16" i="14" s="1"/>
  <c r="G114" i="9"/>
  <c r="G130" i="9"/>
  <c r="G98" i="9"/>
  <c r="M82" i="9"/>
  <c r="AL16" i="14" s="1"/>
  <c r="N82" i="9"/>
  <c r="AM16" i="14" s="1"/>
  <c r="O82" i="9"/>
  <c r="AN16" i="14" s="1"/>
  <c r="P82" i="9"/>
  <c r="AO16" i="14" s="1"/>
  <c r="H73" i="9"/>
  <c r="J73" i="9"/>
  <c r="T7" i="14" s="1"/>
  <c r="Q7" i="14"/>
  <c r="I90" i="9"/>
  <c r="X8" i="14" s="1"/>
  <c r="W8" i="14"/>
  <c r="J120" i="9"/>
  <c r="AI6" i="14" s="1"/>
  <c r="AF6" i="14"/>
  <c r="H120" i="9"/>
  <c r="J119" i="9"/>
  <c r="AI5" i="14" s="1"/>
  <c r="AF5" i="14"/>
  <c r="H119" i="9"/>
  <c r="H125" i="9"/>
  <c r="AF11" i="14"/>
  <c r="J125" i="9"/>
  <c r="AI11" i="14" s="1"/>
  <c r="U35" i="9"/>
  <c r="V35" i="9" s="1"/>
  <c r="W35" i="9" s="1"/>
  <c r="S34" i="9"/>
  <c r="S36" i="9"/>
  <c r="I128" i="9"/>
  <c r="AH14" i="14" s="1"/>
  <c r="AG14" i="14"/>
  <c r="AA5" i="14"/>
  <c r="H103" i="9"/>
  <c r="J103" i="9"/>
  <c r="AD5" i="14" s="1"/>
  <c r="J109" i="9"/>
  <c r="AD11" i="14" s="1"/>
  <c r="H109" i="9"/>
  <c r="AA11" i="14"/>
  <c r="D16" i="14"/>
  <c r="R42" i="9"/>
  <c r="S35" i="9"/>
  <c r="U37" i="9"/>
  <c r="U36" i="9"/>
  <c r="X36" i="9" s="1"/>
  <c r="U34" i="9"/>
  <c r="V34" i="9" s="1"/>
  <c r="W34" i="9" s="1"/>
  <c r="S37" i="9"/>
  <c r="V19" i="9"/>
  <c r="W19" i="9" s="1"/>
  <c r="V18" i="9"/>
  <c r="W18" i="9" s="1"/>
  <c r="V20" i="9"/>
  <c r="W20" i="9" s="1"/>
  <c r="G39" i="9"/>
  <c r="I38" i="9"/>
  <c r="X35" i="9" l="1"/>
  <c r="N49" i="9"/>
  <c r="AF21" i="12" s="1"/>
  <c r="AF22" i="12" s="1"/>
  <c r="S39" i="9"/>
  <c r="I86" i="9"/>
  <c r="X4" i="14" s="1"/>
  <c r="W4" i="14"/>
  <c r="W7" i="14"/>
  <c r="I89" i="9"/>
  <c r="X7" i="14" s="1"/>
  <c r="AG5" i="14"/>
  <c r="I119" i="9"/>
  <c r="AH5" i="14" s="1"/>
  <c r="R13" i="14"/>
  <c r="I79" i="9"/>
  <c r="S13" i="14" s="1"/>
  <c r="I109" i="9"/>
  <c r="AC11" i="14" s="1"/>
  <c r="AB11" i="14"/>
  <c r="AB7" i="14"/>
  <c r="I105" i="9"/>
  <c r="AC7" i="14" s="1"/>
  <c r="I103" i="9"/>
  <c r="AC5" i="14" s="1"/>
  <c r="AB5" i="14"/>
  <c r="AB13" i="14"/>
  <c r="I111" i="9"/>
  <c r="AC13" i="14" s="1"/>
  <c r="R10" i="14"/>
  <c r="I76" i="9"/>
  <c r="S10" i="14" s="1"/>
  <c r="I108" i="9"/>
  <c r="AC10" i="14" s="1"/>
  <c r="AB10" i="14"/>
  <c r="I107" i="9"/>
  <c r="AC9" i="14" s="1"/>
  <c r="AB9" i="14"/>
  <c r="W13" i="14"/>
  <c r="I95" i="9"/>
  <c r="X13" i="14" s="1"/>
  <c r="I97" i="9"/>
  <c r="X15" i="14" s="1"/>
  <c r="W15" i="14"/>
  <c r="AG11" i="14"/>
  <c r="I125" i="9"/>
  <c r="AH11" i="14" s="1"/>
  <c r="I70" i="9"/>
  <c r="S4" i="14" s="1"/>
  <c r="R4" i="14"/>
  <c r="R11" i="14"/>
  <c r="I77" i="9"/>
  <c r="S11" i="14" s="1"/>
  <c r="W10" i="14"/>
  <c r="I92" i="9"/>
  <c r="X10" i="14" s="1"/>
  <c r="I120" i="9"/>
  <c r="AH6" i="14" s="1"/>
  <c r="AG6" i="14"/>
  <c r="AA16" i="14"/>
  <c r="H114" i="9"/>
  <c r="J114" i="9"/>
  <c r="AD16" i="14" s="1"/>
  <c r="I78" i="9"/>
  <c r="S12" i="14" s="1"/>
  <c r="R12" i="14"/>
  <c r="I121" i="9"/>
  <c r="AH7" i="14" s="1"/>
  <c r="AG7" i="14"/>
  <c r="J82" i="9"/>
  <c r="T16" i="14" s="1"/>
  <c r="H82" i="9"/>
  <c r="Q16" i="14"/>
  <c r="Q82" i="9"/>
  <c r="AP16" i="14" s="1"/>
  <c r="J31" i="9"/>
  <c r="L16" i="14" s="1"/>
  <c r="K16" i="14"/>
  <c r="W9" i="14"/>
  <c r="I91" i="9"/>
  <c r="X9" i="14" s="1"/>
  <c r="H98" i="9"/>
  <c r="V16" i="14"/>
  <c r="J98" i="9"/>
  <c r="Y16" i="14" s="1"/>
  <c r="I71" i="9"/>
  <c r="S5" i="14" s="1"/>
  <c r="R5" i="14"/>
  <c r="I88" i="9"/>
  <c r="X6" i="14" s="1"/>
  <c r="W6" i="14"/>
  <c r="R6" i="14"/>
  <c r="I72" i="9"/>
  <c r="S6" i="14" s="1"/>
  <c r="AG4" i="14"/>
  <c r="I118" i="9"/>
  <c r="AH4" i="14" s="1"/>
  <c r="AB12" i="14"/>
  <c r="I110" i="9"/>
  <c r="AC12" i="14" s="1"/>
  <c r="I124" i="9"/>
  <c r="AH10" i="14" s="1"/>
  <c r="AG10" i="14"/>
  <c r="I75" i="9"/>
  <c r="S9" i="14" s="1"/>
  <c r="R9" i="14"/>
  <c r="AF16" i="14"/>
  <c r="H130" i="9"/>
  <c r="J130" i="9"/>
  <c r="AI16" i="14" s="1"/>
  <c r="I113" i="9"/>
  <c r="AC15" i="14" s="1"/>
  <c r="AB15" i="14"/>
  <c r="AB4" i="14"/>
  <c r="I102" i="9"/>
  <c r="AC4" i="14" s="1"/>
  <c r="I129" i="9"/>
  <c r="AH15" i="14" s="1"/>
  <c r="AG15" i="14"/>
  <c r="I104" i="9"/>
  <c r="AC6" i="14" s="1"/>
  <c r="AB6" i="14"/>
  <c r="W11" i="14"/>
  <c r="I93" i="9"/>
  <c r="X11" i="14" s="1"/>
  <c r="AG9" i="14"/>
  <c r="I123" i="9"/>
  <c r="AH9" i="14" s="1"/>
  <c r="I126" i="9"/>
  <c r="AH12" i="14" s="1"/>
  <c r="AG12" i="14"/>
  <c r="AG13" i="14"/>
  <c r="I127" i="9"/>
  <c r="AH13" i="14" s="1"/>
  <c r="I73" i="9"/>
  <c r="S7" i="14" s="1"/>
  <c r="R7" i="14"/>
  <c r="I81" i="9"/>
  <c r="S15" i="14" s="1"/>
  <c r="R15" i="14"/>
  <c r="W5" i="14"/>
  <c r="I87" i="9"/>
  <c r="X5" i="14" s="1"/>
  <c r="I94" i="9"/>
  <c r="X12" i="14" s="1"/>
  <c r="W12" i="14"/>
  <c r="X34" i="9"/>
  <c r="V36" i="9"/>
  <c r="W36" i="9" s="1"/>
  <c r="G40" i="9"/>
  <c r="I39" i="9"/>
  <c r="B20" i="14" l="1"/>
  <c r="V21" i="12"/>
  <c r="I98" i="9"/>
  <c r="X16" i="14" s="1"/>
  <c r="W16" i="14"/>
  <c r="AB16" i="14"/>
  <c r="I114" i="9"/>
  <c r="AC16" i="14" s="1"/>
  <c r="I82" i="9"/>
  <c r="S16" i="14" s="1"/>
  <c r="R16" i="14"/>
  <c r="AG16" i="14"/>
  <c r="I130" i="9"/>
  <c r="AH16" i="14" s="1"/>
  <c r="G41" i="9"/>
  <c r="I40" i="9"/>
  <c r="G42" i="9" l="1"/>
  <c r="I41" i="9"/>
  <c r="G43" i="9" l="1"/>
  <c r="I42" i="9"/>
  <c r="G44" i="9" l="1"/>
  <c r="I43" i="9"/>
  <c r="G45" i="9" l="1"/>
  <c r="I44" i="9"/>
  <c r="G46" i="9" l="1"/>
  <c r="G47" i="9" s="1"/>
  <c r="M46" i="9" s="1"/>
  <c r="P46" i="9" s="1"/>
  <c r="I45" i="9"/>
  <c r="S38" i="9" l="1"/>
  <c r="V37" i="9"/>
  <c r="W37" i="9" s="1"/>
  <c r="X37" i="9"/>
  <c r="I46" i="9"/>
  <c r="I47" i="9" s="1"/>
  <c r="N51" i="9" s="1"/>
  <c r="AG21" i="12" s="1"/>
  <c r="AG22" i="12" s="1"/>
  <c r="P30" i="9"/>
  <c r="R26" i="9" s="1"/>
  <c r="V22" i="12" l="1"/>
  <c r="B21" i="14"/>
  <c r="X21" i="9"/>
  <c r="S23" i="9"/>
  <c r="S22" i="9"/>
  <c r="R44" i="9"/>
  <c r="V21" i="9"/>
  <c r="W21" i="9" s="1"/>
  <c r="R28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<sst xmlns="http://schemas.openxmlformats.org/spreadsheetml/2006/main" count="1743" uniqueCount="306">
  <si>
    <t>Data</t>
  </si>
  <si>
    <t>Mese</t>
  </si>
  <si>
    <t>Categoria</t>
  </si>
  <si>
    <t>Euro</t>
  </si>
  <si>
    <t>Note</t>
  </si>
  <si>
    <t>gennaio</t>
  </si>
  <si>
    <t>febbraio</t>
  </si>
  <si>
    <t>dicembre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</si>
  <si>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</si>
  <si>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</si>
  <si>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</si>
  <si>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</si>
  <si>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</si>
  <si>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</si>
  <si>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</si>
  <si>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</si>
  <si>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</si>
  <si>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DATA</t>
  </si>
  <si>
    <t>MESE</t>
  </si>
  <si>
    <t>CATEGORIA</t>
  </si>
  <si>
    <t>SOTTOCATEGORIA</t>
  </si>
  <si>
    <t>EURO</t>
  </si>
  <si>
    <t>NOTE</t>
  </si>
  <si>
    <t>INSERIRE ENTRATA</t>
  </si>
  <si>
    <t>RISPARMI ANNO PRECEDENTE</t>
  </si>
  <si>
    <t>INVESTIMENTI ANNO PRECEDENTE</t>
  </si>
  <si>
    <t>IMPOSTARE ANNO CORRENTE</t>
  </si>
  <si>
    <t>IMPOSTAZIONE BILANCIO</t>
  </si>
  <si>
    <t>NECESSITÀ</t>
  </si>
  <si>
    <t>SVAGO</t>
  </si>
  <si>
    <t>RISPARMI</t>
  </si>
  <si>
    <t>INVESTIMENTI</t>
  </si>
  <si>
    <t>IMPOSTAZIONE OBIETTIVI (%)</t>
  </si>
  <si>
    <t>entrate</t>
  </si>
  <si>
    <t>casa</t>
  </si>
  <si>
    <t>spese quotidiane</t>
  </si>
  <si>
    <t>figli</t>
  </si>
  <si>
    <t>mese</t>
  </si>
  <si>
    <t>n</t>
  </si>
  <si>
    <t>stipendio</t>
  </si>
  <si>
    <t>acqua</t>
  </si>
  <si>
    <t>barbiere/parrucchiere</t>
  </si>
  <si>
    <t>babysitter</t>
  </si>
  <si>
    <t>regali ricevuti</t>
  </si>
  <si>
    <t>affitto</t>
  </si>
  <si>
    <t>investimenti</t>
  </si>
  <si>
    <t>condominio</t>
  </si>
  <si>
    <t>generi alimentari</t>
  </si>
  <si>
    <t>doposcuola</t>
  </si>
  <si>
    <t>altro</t>
  </si>
  <si>
    <t>servizi di pulizia</t>
  </si>
  <si>
    <t>giocattoli</t>
  </si>
  <si>
    <t>elettronica/elettrodomestici</t>
  </si>
  <si>
    <t>vestiario</t>
  </si>
  <si>
    <t>libri</t>
  </si>
  <si>
    <t>gas</t>
  </si>
  <si>
    <t>spese</t>
  </si>
  <si>
    <t>immondizia</t>
  </si>
  <si>
    <t>prestito</t>
  </si>
  <si>
    <t>abbonamenti</t>
  </si>
  <si>
    <t>manutenzione</t>
  </si>
  <si>
    <t>spese scolastiche</t>
  </si>
  <si>
    <t>animali domestici</t>
  </si>
  <si>
    <t>mobili/articoli per la casa</t>
  </si>
  <si>
    <t>banca</t>
  </si>
  <si>
    <t>mutuo</t>
  </si>
  <si>
    <t>eventi</t>
  </si>
  <si>
    <t>salute</t>
  </si>
  <si>
    <t>dottore</t>
  </si>
  <si>
    <t>cibo</t>
  </si>
  <si>
    <t>emergenza</t>
  </si>
  <si>
    <t>trasporto</t>
  </si>
  <si>
    <t>medicinali</t>
  </si>
  <si>
    <t>veterinario</t>
  </si>
  <si>
    <t>svago</t>
  </si>
  <si>
    <t>assicurazione auto</t>
  </si>
  <si>
    <t>bus/taxi/treno</t>
  </si>
  <si>
    <t>carburante</t>
  </si>
  <si>
    <t>abiti</t>
  </si>
  <si>
    <t>parcheggio</t>
  </si>
  <si>
    <t>bar</t>
  </si>
  <si>
    <t>busta/regalo</t>
  </si>
  <si>
    <t>revisione</t>
  </si>
  <si>
    <t>cinema</t>
  </si>
  <si>
    <t>regalo</t>
  </si>
  <si>
    <t>ristorante/pizzeria</t>
  </si>
  <si>
    <t>viaggio</t>
  </si>
  <si>
    <t>ETF</t>
  </si>
  <si>
    <t>fondo pensione</t>
  </si>
  <si>
    <t>amazon</t>
  </si>
  <si>
    <t>internet</t>
  </si>
  <si>
    <t>promozione telefono</t>
  </si>
  <si>
    <t>assicurazione</t>
  </si>
  <si>
    <t>cadenza</t>
  </si>
  <si>
    <t>commercialista/CAF</t>
  </si>
  <si>
    <t>mensile</t>
  </si>
  <si>
    <t>commissioni</t>
  </si>
  <si>
    <t>bimestrale</t>
  </si>
  <si>
    <t>finanziamento/prestito</t>
  </si>
  <si>
    <t>trimestrale</t>
  </si>
  <si>
    <t>tasse/bollettini</t>
  </si>
  <si>
    <t>quadrimestrale</t>
  </si>
  <si>
    <t>quintimestrale</t>
  </si>
  <si>
    <t>semestrale</t>
  </si>
  <si>
    <t>INSERIRE INVESTIMENTO</t>
  </si>
  <si>
    <t>luce</t>
  </si>
  <si>
    <t>Sottocategoria</t>
  </si>
  <si>
    <t>CALCOLO STIPENDIO</t>
  </si>
  <si>
    <t>ACQUA GRAFICO</t>
  </si>
  <si>
    <t>GAS GRAFICO</t>
  </si>
  <si>
    <t>LUCE GRAFICO</t>
  </si>
  <si>
    <t>totale</t>
  </si>
  <si>
    <t>CALCOLO SPESE</t>
  </si>
  <si>
    <t>necessità</t>
  </si>
  <si>
    <t>ENTRATE</t>
  </si>
  <si>
    <t>SPESE</t>
  </si>
  <si>
    <t>CALCOLO RISPARMI</t>
  </si>
  <si>
    <t>risparmi</t>
  </si>
  <si>
    <t>CALCOLO INVESTIMENTI</t>
  </si>
  <si>
    <t>f. pens.</t>
  </si>
  <si>
    <t>Diff</t>
  </si>
  <si>
    <t>RISP ATT</t>
  </si>
  <si>
    <t>DISP MENSILE</t>
  </si>
  <si>
    <t>DISP 2025</t>
  </si>
  <si>
    <t>FEBBRAIO</t>
  </si>
  <si>
    <t>GENNAIO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</si>
  <si>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</si>
  <si>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</si>
  <si>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</si>
  <si>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</si>
  <si>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</si>
  <si>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</si>
  <si>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</si>
  <si>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</si>
  <si>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</si>
  <si>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</si>
  <si>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CALCOLO % ENTRATE</t>
  </si>
  <si>
    <t>INTERO ANNO</t>
  </si>
  <si>
    <t>MENSILE</t>
  </si>
  <si>
    <t>DISP ATT</t>
  </si>
  <si>
    <t>MAX/MIN</t>
  </si>
  <si>
    <t>%</t>
  </si>
  <si>
    <t>1-%</t>
  </si>
  <si>
    <t>finanziamento</t>
  </si>
  <si>
    <t>Etichette di riga</t>
  </si>
  <si>
    <t>(vuoto)</t>
  </si>
  <si>
    <t>Totale complessivo</t>
  </si>
  <si>
    <t>Etichette di colonna</t>
  </si>
  <si>
    <t>--</t>
  </si>
  <si>
    <t>INSERIRE SPESA/RIMBORSO</t>
  </si>
  <si>
    <t>INSERIRE/SOTTRARRE RISPARMIO</t>
  </si>
  <si>
    <t>Anno</t>
  </si>
  <si>
    <t>Portafoglio</t>
  </si>
  <si>
    <t>Carta 1</t>
  </si>
  <si>
    <t>Carta 2</t>
  </si>
  <si>
    <t>Carta 3</t>
  </si>
  <si>
    <t>Carta 4</t>
  </si>
  <si>
    <t>Felice</t>
  </si>
  <si>
    <t>giacenza</t>
  </si>
  <si>
    <t>GIACENZA 2025</t>
  </si>
  <si>
    <t>GIAC ATT</t>
  </si>
  <si>
    <t>GIAC MENSILE</t>
  </si>
  <si>
    <t>pranzo lavoro</t>
  </si>
  <si>
    <t>dopo</t>
  </si>
  <si>
    <t>prima</t>
  </si>
  <si>
    <t>differenza</t>
  </si>
  <si>
    <t>categoria</t>
  </si>
  <si>
    <t>contanti</t>
  </si>
  <si>
    <t>bnl</t>
  </si>
  <si>
    <t>revolut</t>
  </si>
  <si>
    <t>n26</t>
  </si>
  <si>
    <t>nome</t>
  </si>
  <si>
    <t>persone</t>
  </si>
  <si>
    <t>TIPOLOGIA PAGAMENTO</t>
  </si>
  <si>
    <t>Pagamento</t>
  </si>
  <si>
    <t>INTESTATARIO</t>
  </si>
  <si>
    <t>Intestatario</t>
  </si>
  <si>
    <t>elena</t>
  </si>
  <si>
    <t>felice</t>
  </si>
  <si>
    <t>Tipologia</t>
  </si>
  <si>
    <t>persona1</t>
  </si>
  <si>
    <t>persona2</t>
  </si>
  <si>
    <t>persona3</t>
  </si>
  <si>
    <t>persona4</t>
  </si>
  <si>
    <t>persona5</t>
  </si>
  <si>
    <t>persona6</t>
  </si>
  <si>
    <t>Totale</t>
  </si>
  <si>
    <t>disponibilità</t>
  </si>
  <si>
    <t>GIACENZA ANNO PRECEDENTE</t>
  </si>
  <si>
    <t>INIZIALE</t>
  </si>
  <si>
    <t>manutenzione/lavaggio</t>
  </si>
  <si>
    <t>brindiamo bar</t>
  </si>
  <si>
    <t>Aggiornamento 2</t>
  </si>
  <si>
    <t>Pasquale</t>
  </si>
  <si>
    <t>Alessio</t>
  </si>
  <si>
    <t>zara</t>
  </si>
  <si>
    <t>ovs</t>
  </si>
  <si>
    <t>importo</t>
  </si>
  <si>
    <t>ICT</t>
  </si>
  <si>
    <t>twingo Elena</t>
  </si>
  <si>
    <t>mc donald</t>
  </si>
  <si>
    <t>parentesi graffa</t>
  </si>
  <si>
    <t>gusto</t>
  </si>
  <si>
    <t>traferiti</t>
  </si>
  <si>
    <t>data</t>
  </si>
  <si>
    <t>fonzo</t>
  </si>
  <si>
    <t>touran</t>
  </si>
  <si>
    <t>camicia Domenico</t>
  </si>
  <si>
    <t>Amazon</t>
  </si>
  <si>
    <t>ticketone</t>
  </si>
  <si>
    <t>twingo</t>
  </si>
  <si>
    <t>pedaggi</t>
  </si>
  <si>
    <t>tassa soggiorno</t>
  </si>
  <si>
    <t>supermercato</t>
  </si>
  <si>
    <t>pranzo</t>
  </si>
  <si>
    <t>TIPOLOGIA CONTO</t>
  </si>
  <si>
    <t>intestatario</t>
  </si>
  <si>
    <t>importo2</t>
  </si>
  <si>
    <t>destinatario</t>
  </si>
  <si>
    <t>conto</t>
  </si>
  <si>
    <t>conto2</t>
  </si>
  <si>
    <t>INSERIRE TRASFERIMENTO</t>
  </si>
  <si>
    <t>CONTO</t>
  </si>
  <si>
    <t>IMPORTO</t>
  </si>
  <si>
    <t>DESTINATARIO</t>
  </si>
  <si>
    <t>camicie</t>
  </si>
  <si>
    <t>roma spese</t>
  </si>
  <si>
    <t>uosm e vasm</t>
  </si>
  <si>
    <t>zito41</t>
  </si>
  <si>
    <t>tonia</t>
  </si>
  <si>
    <t>casa infante</t>
  </si>
  <si>
    <t>pedaggio</t>
  </si>
  <si>
    <t>giacca</t>
  </si>
  <si>
    <t>Roma Hotel Imperatori</t>
  </si>
  <si>
    <t>profumo</t>
  </si>
  <si>
    <t>arancini</t>
  </si>
  <si>
    <t>SP_ID</t>
  </si>
  <si>
    <t>EURO LORDO</t>
  </si>
  <si>
    <t>Euro Lordo</t>
  </si>
  <si>
    <t>Euro Netto</t>
  </si>
  <si>
    <t>Aggiornamento</t>
  </si>
  <si>
    <t>rimborsi</t>
  </si>
  <si>
    <t>Rimborso tot</t>
  </si>
  <si>
    <t>ID SPESA</t>
  </si>
  <si>
    <t>INSERIRE RIMBORSO</t>
  </si>
  <si>
    <t>RIMB_ID</t>
  </si>
  <si>
    <t>rimborso</t>
  </si>
  <si>
    <t>SPESE DA RIMBORSARE</t>
  </si>
  <si>
    <t>lavoro</t>
  </si>
  <si>
    <t>Rimborso Tot</t>
  </si>
  <si>
    <t>eccedenze</t>
  </si>
  <si>
    <t>postepay</t>
  </si>
  <si>
    <t>Eccedenze</t>
  </si>
  <si>
    <t>Somma di Euro Netto</t>
  </si>
  <si>
    <t>Elena</t>
  </si>
  <si>
    <t>Rimborso</t>
  </si>
  <si>
    <t>RIMBORSO</t>
  </si>
  <si>
    <t>CALCOLO ECCEDENZE</t>
  </si>
  <si>
    <t>Previsto</t>
  </si>
  <si>
    <t>Ricevuto</t>
  </si>
  <si>
    <t>Rimborso Lavoro</t>
  </si>
  <si>
    <t>SPESA / 2</t>
  </si>
  <si>
    <t>SPESA / 3</t>
  </si>
  <si>
    <t>SPESA / 4</t>
  </si>
  <si>
    <t>SPESA / 5</t>
  </si>
  <si>
    <t>SPESA / 6</t>
  </si>
  <si>
    <t>Mirco</t>
  </si>
  <si>
    <t>Tonia</t>
  </si>
  <si>
    <t>Elena + Mirco + Tonia</t>
  </si>
  <si>
    <t>Elena + Tonia</t>
  </si>
  <si>
    <t>sport</t>
  </si>
  <si>
    <t>piscina</t>
  </si>
  <si>
    <t>ikea</t>
  </si>
  <si>
    <t>decathlon</t>
  </si>
  <si>
    <t>in piazza</t>
  </si>
  <si>
    <t>Lorenza</t>
  </si>
  <si>
    <t>Marigliano Bar</t>
  </si>
  <si>
    <t>Ohi Mary</t>
  </si>
  <si>
    <t>pasquale</t>
  </si>
  <si>
    <t>KFC</t>
  </si>
  <si>
    <t>Unieuro</t>
  </si>
  <si>
    <t>comodino amazon</t>
  </si>
  <si>
    <t>negozi</t>
  </si>
  <si>
    <t>ict</t>
  </si>
  <si>
    <t>Tablet s9</t>
  </si>
  <si>
    <t>bucarest (Da agg. Hotel 103€)</t>
  </si>
  <si>
    <t>GIACENZA</t>
  </si>
  <si>
    <t>CALCOLO GIACENZA</t>
  </si>
  <si>
    <t>MAX</t>
  </si>
  <si>
    <t>MIN</t>
  </si>
  <si>
    <t>diff</t>
  </si>
  <si>
    <t>% ENTRATE</t>
  </si>
  <si>
    <t>da rimborsare</t>
  </si>
  <si>
    <t>giancenza</t>
  </si>
  <si>
    <t>SITUAZIONE ATTUALE</t>
  </si>
  <si>
    <t>DISP.</t>
  </si>
  <si>
    <t>RISP.</t>
  </si>
  <si>
    <t>GIA.</t>
  </si>
  <si>
    <t>i caporale</t>
  </si>
  <si>
    <t>Tonia + Nello</t>
  </si>
  <si>
    <t>temu</t>
  </si>
  <si>
    <t>si</t>
  </si>
  <si>
    <t>Giacenza</t>
  </si>
  <si>
    <t>DIFF. Giacenza</t>
  </si>
  <si>
    <t>Nello</t>
  </si>
  <si>
    <t>DIFFERENZA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</si>
</sst>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\€\ #,##0.00"/>
    <numFmt numFmtId="167" formatCode="dd/mm/yyyy"/>
  </numFmts>
  <fonts count="31" x14ac:knownFonts="1">
    <font>
      <sz val="11"/>
      <color theme="1"/>
      <name val="Calibri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Calibri"/>
      <family val="2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9" tint="0.79998168889431442"/>
      <name val="Calibri"/>
      <family val="2"/>
    </font>
    <font>
      <sz val="11"/>
      <color theme="9" tint="0.79998168889431442"/>
      <name val="Aptos Narrow"/>
      <family val="2"/>
      <scheme val="minor"/>
    </font>
    <font>
      <b/>
      <sz val="11"/>
      <color theme="0"/>
      <name val="Calibri"/>
      <family val="2"/>
    </font>
    <font>
      <b/>
      <sz val="11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rgb="FFC00000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9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251">
    <xf numFmtId="0" fontId="0" fillId="0" borderId="0" xfId="0"/>
    <xf numFmtId="0" fontId="13" fillId="2" borderId="0" xfId="0" applyFont="1" applyFill="1"/>
    <xf numFmtId="0" fontId="13" fillId="0" borderId="0" xfId="0" applyFont="1"/>
    <xf numFmtId="0" fontId="13" fillId="0" borderId="0" xfId="0" applyFont="1" applyAlignment="1">
      <alignment horizontal="left"/>
    </xf>
    <xf numFmtId="0" fontId="13" fillId="5" borderId="2" xfId="0" applyFont="1" applyFill="1" applyBorder="1" applyProtection="1">
      <protection locked="0"/>
    </xf>
    <xf numFmtId="0" fontId="13" fillId="5" borderId="3" xfId="0" applyFont="1" applyFill="1" applyBorder="1" applyProtection="1">
      <protection locked="0"/>
    </xf>
    <xf numFmtId="0" fontId="13" fillId="5" borderId="4" xfId="0" applyFont="1" applyFill="1" applyBorder="1" applyProtection="1">
      <protection locked="0"/>
    </xf>
    <xf numFmtId="0" fontId="13" fillId="5" borderId="5" xfId="0" applyFont="1" applyFill="1" applyBorder="1" applyProtection="1">
      <protection locked="0"/>
    </xf>
    <xf numFmtId="0" fontId="13" fillId="5" borderId="6" xfId="0" applyFont="1" applyFill="1" applyBorder="1" applyProtection="1">
      <protection locked="0"/>
    </xf>
    <xf numFmtId="0" fontId="13" fillId="5" borderId="0" xfId="0" applyFont="1" applyFill="1" applyProtection="1">
      <protection locked="0"/>
    </xf>
    <xf numFmtId="0" fontId="15" fillId="5" borderId="5" xfId="0" applyFont="1" applyFill="1" applyBorder="1" applyAlignment="1" applyProtection="1">
      <alignment vertical="center"/>
      <protection locked="0"/>
    </xf>
    <xf numFmtId="0" fontId="18" fillId="5" borderId="6" xfId="0" applyFont="1" applyFill="1" applyBorder="1" applyAlignment="1" applyProtection="1">
      <alignment vertical="center"/>
      <protection locked="0"/>
    </xf>
    <xf numFmtId="0" fontId="13" fillId="5" borderId="7" xfId="0" applyFont="1" applyFill="1" applyBorder="1" applyProtection="1">
      <protection locked="0"/>
    </xf>
    <xf numFmtId="0" fontId="13" fillId="5" borderId="8" xfId="0" applyFont="1" applyFill="1" applyBorder="1" applyProtection="1">
      <protection locked="0"/>
    </xf>
    <xf numFmtId="0" fontId="13" fillId="5" borderId="9" xfId="0" applyFont="1" applyFill="1" applyBorder="1" applyProtection="1">
      <protection locked="0"/>
    </xf>
    <xf numFmtId="14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3" fillId="6" borderId="0" xfId="0" applyFont="1" applyFill="1" applyProtection="1">
      <protection locked="0"/>
    </xf>
    <xf numFmtId="0" fontId="0" fillId="6" borderId="0" xfId="0" applyFill="1"/>
    <xf numFmtId="0" fontId="0" fillId="6" borderId="0" xfId="0" applyFill="1" applyAlignment="1">
      <alignment horizontal="left" vertical="center"/>
    </xf>
    <xf numFmtId="0" fontId="15" fillId="6" borderId="0" xfId="0" applyFont="1" applyFill="1" applyProtection="1">
      <protection locked="0"/>
    </xf>
    <xf numFmtId="9" fontId="13" fillId="6" borderId="0" xfId="0" applyNumberFormat="1" applyFont="1" applyFill="1" applyProtection="1">
      <protection locked="0"/>
    </xf>
    <xf numFmtId="0" fontId="14" fillId="8" borderId="2" xfId="0" applyFont="1" applyFill="1" applyBorder="1" applyAlignment="1">
      <alignment horizontal="left" vertical="center"/>
    </xf>
    <xf numFmtId="0" fontId="14" fillId="8" borderId="5" xfId="0" applyFont="1" applyFill="1" applyBorder="1" applyAlignment="1">
      <alignment horizontal="left" vertical="center"/>
    </xf>
    <xf numFmtId="0" fontId="15" fillId="8" borderId="5" xfId="0" applyFont="1" applyFill="1" applyBorder="1"/>
    <xf numFmtId="0" fontId="13" fillId="2" borderId="6" xfId="0" applyFont="1" applyFill="1" applyBorder="1"/>
    <xf numFmtId="0" fontId="20" fillId="0" borderId="0" xfId="0" applyFont="1"/>
    <xf numFmtId="164" fontId="0" fillId="0" borderId="0" xfId="0" applyNumberFormat="1"/>
    <xf numFmtId="164" fontId="13" fillId="0" borderId="0" xfId="0" applyNumberFormat="1" applyFont="1"/>
    <xf numFmtId="0" fontId="13" fillId="2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0" fontId="15" fillId="0" borderId="0" xfId="0" applyFont="1"/>
    <xf numFmtId="164" fontId="0" fillId="0" borderId="0" xfId="0" applyNumberFormat="1" applyAlignment="1">
      <alignment horizontal="right" vertical="center"/>
    </xf>
    <xf numFmtId="164" fontId="13" fillId="0" borderId="0" xfId="0" applyNumberFormat="1" applyFont="1" applyAlignment="1">
      <alignment horizontal="right" vertical="center"/>
    </xf>
    <xf numFmtId="164" fontId="20" fillId="0" borderId="0" xfId="0" applyNumberFormat="1" applyFont="1"/>
    <xf numFmtId="0" fontId="0" fillId="0" borderId="0" xfId="0" applyAlignment="1">
      <alignment horizontal="right" vertical="center"/>
    </xf>
    <xf numFmtId="0" fontId="13" fillId="0" borderId="0" xfId="0" applyFont="1" applyAlignment="1" applyProtection="1">
      <alignment horizontal="right"/>
      <protection locked="0"/>
    </xf>
    <xf numFmtId="9" fontId="0" fillId="0" borderId="0" xfId="1" applyFont="1" applyBorder="1"/>
    <xf numFmtId="0" fontId="13" fillId="0" borderId="0" xfId="0" applyFont="1" applyAlignment="1">
      <alignment vertical="center"/>
    </xf>
    <xf numFmtId="164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20" fillId="0" borderId="11" xfId="0" applyFont="1" applyBorder="1"/>
    <xf numFmtId="164" fontId="0" fillId="0" borderId="12" xfId="0" applyNumberFormat="1" applyBorder="1"/>
    <xf numFmtId="0" fontId="20" fillId="0" borderId="12" xfId="0" applyFont="1" applyBorder="1"/>
    <xf numFmtId="164" fontId="0" fillId="0" borderId="13" xfId="0" applyNumberFormat="1" applyBorder="1"/>
    <xf numFmtId="0" fontId="20" fillId="0" borderId="0" xfId="0" applyFont="1" applyAlignment="1">
      <alignment horizontal="center" vertical="center"/>
    </xf>
    <xf numFmtId="164" fontId="0" fillId="0" borderId="0" xfId="0" applyNumberFormat="1" applyAlignment="1">
      <alignment horizontal="right"/>
    </xf>
    <xf numFmtId="0" fontId="15" fillId="0" borderId="0" xfId="0" applyFont="1" applyAlignment="1">
      <alignment vertical="center"/>
    </xf>
    <xf numFmtId="0" fontId="0" fillId="0" borderId="0" xfId="0" applyAlignment="1">
      <alignment horizontal="right"/>
    </xf>
    <xf numFmtId="0" fontId="20" fillId="0" borderId="0" xfId="0" applyFont="1" applyAlignment="1">
      <alignment vertical="center"/>
    </xf>
    <xf numFmtId="164" fontId="0" fillId="0" borderId="0" xfId="2" applyNumberFormat="1" applyFont="1" applyBorder="1" applyAlignment="1">
      <alignment vertical="center"/>
    </xf>
    <xf numFmtId="9" fontId="0" fillId="0" borderId="0" xfId="0" applyNumberFormat="1"/>
    <xf numFmtId="0" fontId="20" fillId="0" borderId="0" xfId="0" applyFont="1" applyAlignment="1">
      <alignment horizontal="left" vertical="center"/>
    </xf>
    <xf numFmtId="14" fontId="0" fillId="0" borderId="0" xfId="0" applyNumberFormat="1"/>
    <xf numFmtId="164" fontId="15" fillId="0" borderId="0" xfId="0" applyNumberFormat="1" applyFont="1"/>
    <xf numFmtId="0" fontId="22" fillId="0" borderId="0" xfId="0" applyFont="1"/>
    <xf numFmtId="14" fontId="13" fillId="0" borderId="0" xfId="0" applyNumberFormat="1" applyFont="1"/>
    <xf numFmtId="164" fontId="15" fillId="0" borderId="0" xfId="0" applyNumberFormat="1" applyFont="1" applyAlignment="1">
      <alignment horizontal="center"/>
    </xf>
    <xf numFmtId="164" fontId="24" fillId="0" borderId="0" xfId="0" applyNumberFormat="1" applyFont="1"/>
    <xf numFmtId="14" fontId="15" fillId="0" borderId="0" xfId="0" applyNumberFormat="1" applyFont="1" applyAlignment="1">
      <alignment horizontal="left"/>
    </xf>
    <xf numFmtId="0" fontId="23" fillId="13" borderId="14" xfId="0" applyFont="1" applyFill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13" fillId="0" borderId="0" xfId="0" applyFont="1" applyProtection="1">
      <protection locked="0"/>
    </xf>
    <xf numFmtId="0" fontId="25" fillId="2" borderId="0" xfId="0" applyFont="1" applyFill="1"/>
    <xf numFmtId="164" fontId="25" fillId="2" borderId="0" xfId="0" applyNumberFormat="1" applyFont="1" applyFill="1" applyAlignment="1">
      <alignment horizontal="right"/>
    </xf>
    <xf numFmtId="14" fontId="13" fillId="2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center"/>
    </xf>
    <xf numFmtId="8" fontId="13" fillId="2" borderId="6" xfId="0" applyNumberFormat="1" applyFont="1" applyFill="1" applyBorder="1" applyAlignment="1">
      <alignment horizontal="right" vertical="center"/>
    </xf>
    <xf numFmtId="0" fontId="13" fillId="2" borderId="9" xfId="0" applyFont="1" applyFill="1" applyBorder="1"/>
    <xf numFmtId="0" fontId="15" fillId="8" borderId="7" xfId="0" applyFont="1" applyFill="1" applyBorder="1"/>
    <xf numFmtId="0" fontId="26" fillId="0" borderId="0" xfId="0" applyFont="1" applyAlignment="1">
      <alignment horizontal="left" vertical="center"/>
    </xf>
    <xf numFmtId="8" fontId="13" fillId="2" borderId="6" xfId="0" applyNumberFormat="1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left" vertical="center"/>
    </xf>
    <xf numFmtId="0" fontId="14" fillId="4" borderId="5" xfId="0" applyFont="1" applyFill="1" applyBorder="1" applyAlignment="1">
      <alignment horizontal="left" vertical="center"/>
    </xf>
    <xf numFmtId="0" fontId="15" fillId="4" borderId="5" xfId="0" applyFont="1" applyFill="1" applyBorder="1"/>
    <xf numFmtId="0" fontId="15" fillId="4" borderId="7" xfId="0" applyFont="1" applyFill="1" applyBorder="1"/>
    <xf numFmtId="0" fontId="14" fillId="9" borderId="2" xfId="0" applyFont="1" applyFill="1" applyBorder="1" applyAlignment="1">
      <alignment horizontal="left" vertical="center"/>
    </xf>
    <xf numFmtId="0" fontId="14" fillId="9" borderId="5" xfId="0" applyFont="1" applyFill="1" applyBorder="1" applyAlignment="1">
      <alignment horizontal="left" vertical="center"/>
    </xf>
    <xf numFmtId="0" fontId="14" fillId="9" borderId="7" xfId="0" applyFont="1" applyFill="1" applyBorder="1" applyAlignment="1">
      <alignment horizontal="left" vertical="center"/>
    </xf>
    <xf numFmtId="164" fontId="25" fillId="2" borderId="0" xfId="0" applyNumberFormat="1" applyFont="1" applyFill="1"/>
    <xf numFmtId="0" fontId="14" fillId="11" borderId="2" xfId="0" applyFont="1" applyFill="1" applyBorder="1" applyAlignment="1">
      <alignment horizontal="left" vertical="center"/>
    </xf>
    <xf numFmtId="0" fontId="14" fillId="11" borderId="5" xfId="0" applyFont="1" applyFill="1" applyBorder="1" applyAlignment="1">
      <alignment horizontal="left" vertical="center"/>
    </xf>
    <xf numFmtId="0" fontId="14" fillId="11" borderId="7" xfId="0" applyFont="1" applyFill="1" applyBorder="1" applyAlignment="1">
      <alignment horizontal="left" vertical="center"/>
    </xf>
    <xf numFmtId="0" fontId="15" fillId="0" borderId="5" xfId="0" applyFont="1" applyBorder="1"/>
    <xf numFmtId="0" fontId="15" fillId="0" borderId="6" xfId="0" applyFont="1" applyBorder="1" applyAlignment="1">
      <alignment horizontal="right" vertical="center"/>
    </xf>
    <xf numFmtId="0" fontId="15" fillId="0" borderId="2" xfId="0" applyFont="1" applyBorder="1"/>
    <xf numFmtId="0" fontId="15" fillId="0" borderId="3" xfId="0" applyFont="1" applyBorder="1" applyAlignment="1">
      <alignment horizontal="left"/>
    </xf>
    <xf numFmtId="164" fontId="13" fillId="2" borderId="0" xfId="0" applyNumberFormat="1" applyFont="1" applyFill="1"/>
    <xf numFmtId="0" fontId="15" fillId="0" borderId="3" xfId="0" applyFont="1" applyBorder="1" applyAlignment="1">
      <alignment horizontal="right"/>
    </xf>
    <xf numFmtId="0" fontId="13" fillId="2" borderId="0" xfId="0" applyFont="1" applyFill="1" applyAlignment="1">
      <alignment horizontal="left"/>
    </xf>
    <xf numFmtId="14" fontId="11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center"/>
    </xf>
    <xf numFmtId="164" fontId="11" fillId="0" borderId="0" xfId="0" applyNumberFormat="1" applyFont="1" applyAlignment="1">
      <alignment horizontal="right" vertical="center"/>
    </xf>
    <xf numFmtId="14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164" fontId="10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left" vertical="center"/>
    </xf>
    <xf numFmtId="14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center"/>
    </xf>
    <xf numFmtId="0" fontId="7" fillId="2" borderId="0" xfId="0" applyFont="1" applyFill="1"/>
    <xf numFmtId="165" fontId="7" fillId="0" borderId="0" xfId="0" applyNumberFormat="1" applyFont="1"/>
    <xf numFmtId="164" fontId="27" fillId="0" borderId="0" xfId="0" applyNumberFormat="1" applyFont="1" applyAlignment="1">
      <alignment horizontal="right" vertical="center"/>
    </xf>
    <xf numFmtId="164" fontId="28" fillId="0" borderId="0" xfId="0" applyNumberFormat="1" applyFont="1" applyAlignment="1">
      <alignment horizontal="right" vertical="center"/>
    </xf>
    <xf numFmtId="165" fontId="28" fillId="0" borderId="0" xfId="0" applyNumberFormat="1" applyFont="1"/>
    <xf numFmtId="165" fontId="27" fillId="0" borderId="0" xfId="0" applyNumberFormat="1" applyFont="1"/>
    <xf numFmtId="0" fontId="14" fillId="6" borderId="5" xfId="0" applyFont="1" applyFill="1" applyBorder="1" applyAlignment="1">
      <alignment horizontal="left" vertical="center"/>
    </xf>
    <xf numFmtId="0" fontId="14" fillId="6" borderId="7" xfId="0" applyFont="1" applyFill="1" applyBorder="1" applyAlignment="1">
      <alignment horizontal="left" vertical="center"/>
    </xf>
    <xf numFmtId="14" fontId="13" fillId="2" borderId="6" xfId="0" applyNumberFormat="1" applyFont="1" applyFill="1" applyBorder="1" applyAlignment="1">
      <alignment horizontal="left" vertical="center"/>
    </xf>
    <xf numFmtId="0" fontId="15" fillId="6" borderId="2" xfId="0" applyFont="1" applyFill="1" applyBorder="1"/>
    <xf numFmtId="14" fontId="13" fillId="2" borderId="0" xfId="0" applyNumberFormat="1" applyFont="1" applyFill="1" applyAlignment="1">
      <alignment horizontal="left"/>
    </xf>
    <xf numFmtId="14" fontId="13" fillId="2" borderId="0" xfId="0" applyNumberFormat="1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right" vertical="center"/>
    </xf>
    <xf numFmtId="0" fontId="15" fillId="2" borderId="0" xfId="0" applyFont="1" applyFill="1"/>
    <xf numFmtId="0" fontId="6" fillId="0" borderId="0" xfId="0" applyFont="1" applyAlignment="1">
      <alignment horizontal="left" vertical="center"/>
    </xf>
    <xf numFmtId="0" fontId="6" fillId="2" borderId="0" xfId="0" applyFont="1" applyFill="1"/>
    <xf numFmtId="164" fontId="15" fillId="2" borderId="0" xfId="0" applyNumberFormat="1" applyFont="1" applyFill="1"/>
    <xf numFmtId="0" fontId="7" fillId="2" borderId="4" xfId="0" applyFont="1" applyFill="1" applyBorder="1" applyAlignment="1">
      <alignment horizontal="left"/>
    </xf>
    <xf numFmtId="0" fontId="5" fillId="2" borderId="0" xfId="0" applyFont="1" applyFill="1"/>
    <xf numFmtId="0" fontId="5" fillId="0" borderId="0" xfId="0" applyFont="1"/>
    <xf numFmtId="14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14" fontId="13" fillId="2" borderId="0" xfId="0" applyNumberFormat="1" applyFont="1" applyFill="1"/>
    <xf numFmtId="14" fontId="29" fillId="2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left"/>
    </xf>
    <xf numFmtId="0" fontId="4" fillId="2" borderId="0" xfId="0" applyFont="1" applyFill="1"/>
    <xf numFmtId="164" fontId="7" fillId="2" borderId="0" xfId="0" applyNumberFormat="1" applyFont="1" applyFill="1"/>
    <xf numFmtId="164" fontId="13" fillId="2" borderId="0" xfId="0" applyNumberFormat="1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right"/>
    </xf>
    <xf numFmtId="0" fontId="4" fillId="2" borderId="0" xfId="0" applyFont="1" applyFill="1" applyAlignment="1">
      <alignment horizontal="right"/>
    </xf>
    <xf numFmtId="0" fontId="4" fillId="2" borderId="6" xfId="0" applyFont="1" applyFill="1" applyBorder="1"/>
    <xf numFmtId="0" fontId="4" fillId="0" borderId="0" xfId="0" applyFont="1"/>
    <xf numFmtId="14" fontId="13" fillId="0" borderId="0" xfId="0" applyNumberFormat="1" applyFont="1" applyAlignment="1">
      <alignment horizontal="left"/>
    </xf>
    <xf numFmtId="0" fontId="13" fillId="2" borderId="0" xfId="0" applyFont="1" applyFill="1" applyAlignment="1">
      <alignment horizontal="right"/>
    </xf>
    <xf numFmtId="0" fontId="4" fillId="2" borderId="19" xfId="0" applyFont="1" applyFill="1" applyBorder="1"/>
    <xf numFmtId="164" fontId="27" fillId="2" borderId="19" xfId="0" applyNumberFormat="1" applyFont="1" applyFill="1" applyBorder="1"/>
    <xf numFmtId="164" fontId="30" fillId="2" borderId="19" xfId="0" applyNumberFormat="1" applyFont="1" applyFill="1" applyBorder="1"/>
    <xf numFmtId="0" fontId="4" fillId="2" borderId="20" xfId="0" applyFont="1" applyFill="1" applyBorder="1"/>
    <xf numFmtId="164" fontId="27" fillId="2" borderId="20" xfId="0" applyNumberFormat="1" applyFont="1" applyFill="1" applyBorder="1"/>
    <xf numFmtId="164" fontId="30" fillId="2" borderId="20" xfId="0" applyNumberFormat="1" applyFont="1" applyFill="1" applyBorder="1"/>
    <xf numFmtId="0" fontId="13" fillId="2" borderId="19" xfId="0" applyFont="1" applyFill="1" applyBorder="1"/>
    <xf numFmtId="164" fontId="13" fillId="2" borderId="19" xfId="0" applyNumberFormat="1" applyFont="1" applyFill="1" applyBorder="1"/>
    <xf numFmtId="165" fontId="28" fillId="0" borderId="0" xfId="0" applyNumberFormat="1" applyFont="1" applyAlignment="1">
      <alignment horizontal="right" vertical="center"/>
    </xf>
    <xf numFmtId="165" fontId="27" fillId="0" borderId="0" xfId="0" applyNumberFormat="1" applyFont="1" applyAlignment="1">
      <alignment horizontal="right" vertical="center"/>
    </xf>
    <xf numFmtId="165" fontId="4" fillId="0" borderId="0" xfId="0" applyNumberFormat="1" applyFont="1" applyAlignment="1">
      <alignment horizontal="right" vertical="center"/>
    </xf>
    <xf numFmtId="14" fontId="15" fillId="0" borderId="0" xfId="0" applyNumberFormat="1" applyFont="1" applyAlignment="1">
      <alignment horizontal="right"/>
    </xf>
    <xf numFmtId="0" fontId="15" fillId="0" borderId="0" xfId="0" applyFont="1" applyAlignment="1">
      <alignment horizontal="right"/>
    </xf>
    <xf numFmtId="14" fontId="4" fillId="2" borderId="0" xfId="0" applyNumberFormat="1" applyFont="1" applyFill="1" applyAlignment="1">
      <alignment horizontal="left"/>
    </xf>
    <xf numFmtId="0" fontId="4" fillId="2" borderId="0" xfId="0" applyFont="1" applyFill="1" applyAlignment="1">
      <alignment horizontal="left"/>
    </xf>
    <xf numFmtId="164" fontId="4" fillId="2" borderId="0" xfId="0" applyNumberFormat="1" applyFont="1" applyFill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65" fontId="3" fillId="0" borderId="0" xfId="0" applyNumberFormat="1" applyFont="1" applyAlignment="1">
      <alignment horizontal="right" vertical="center"/>
    </xf>
    <xf numFmtId="0" fontId="21" fillId="16" borderId="0" xfId="0" applyFont="1" applyFill="1"/>
    <xf numFmtId="0" fontId="0" fillId="16" borderId="0" xfId="0" applyFill="1"/>
    <xf numFmtId="9" fontId="0" fillId="16" borderId="0" xfId="1" applyFont="1" applyFill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2" borderId="6" xfId="0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65" fontId="2" fillId="0" borderId="0" xfId="0" applyNumberFormat="1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164" fontId="2" fillId="2" borderId="0" xfId="0" applyNumberFormat="1" applyFont="1" applyFill="1"/>
    <xf numFmtId="0" fontId="2" fillId="2" borderId="0" xfId="0" applyFont="1" applyFill="1"/>
    <xf numFmtId="0" fontId="15" fillId="5" borderId="0" xfId="0" applyFont="1" applyFill="1" applyAlignment="1" applyProtection="1">
      <alignment horizontal="left" vertical="center"/>
      <protection locked="0"/>
    </xf>
    <xf numFmtId="164" fontId="15" fillId="2" borderId="0" xfId="0" applyNumberFormat="1" applyFont="1" applyFill="1" applyAlignment="1" applyProtection="1">
      <alignment horizontal="center"/>
      <protection locked="0"/>
    </xf>
    <xf numFmtId="0" fontId="17" fillId="5" borderId="0" xfId="0" applyFont="1" applyFill="1" applyAlignment="1" applyProtection="1">
      <alignment horizontal="left" vertical="center"/>
      <protection locked="0"/>
    </xf>
    <xf numFmtId="0" fontId="15" fillId="2" borderId="0" xfId="0" applyFont="1" applyFill="1" applyAlignment="1" applyProtection="1">
      <alignment horizontal="center" vertical="center"/>
      <protection locked="0"/>
    </xf>
    <xf numFmtId="164" fontId="15" fillId="2" borderId="0" xfId="0" applyNumberFormat="1" applyFont="1" applyFill="1" applyAlignment="1" applyProtection="1">
      <alignment horizontal="center" vertical="center"/>
      <protection locked="0"/>
    </xf>
    <xf numFmtId="9" fontId="15" fillId="2" borderId="0" xfId="1" applyFont="1" applyFill="1" applyAlignment="1" applyProtection="1">
      <alignment horizontal="center"/>
      <protection locked="0"/>
    </xf>
    <xf numFmtId="9" fontId="15" fillId="2" borderId="0" xfId="1" applyFont="1" applyFill="1" applyAlignment="1" applyProtection="1">
      <alignment horizontal="center" vertical="center"/>
      <protection locked="0"/>
    </xf>
    <xf numFmtId="0" fontId="14" fillId="3" borderId="1" xfId="0" applyFont="1" applyFill="1" applyBorder="1" applyAlignment="1">
      <alignment horizontal="center"/>
    </xf>
    <xf numFmtId="0" fontId="14" fillId="3" borderId="10" xfId="0" applyFont="1" applyFill="1" applyBorder="1" applyAlignment="1">
      <alignment horizontal="center"/>
    </xf>
    <xf numFmtId="0" fontId="14" fillId="7" borderId="1" xfId="0" applyFont="1" applyFill="1" applyBorder="1" applyAlignment="1">
      <alignment horizontal="center"/>
    </xf>
    <xf numFmtId="0" fontId="14" fillId="7" borderId="10" xfId="0" applyFont="1" applyFill="1" applyBorder="1" applyAlignment="1">
      <alignment horizontal="center"/>
    </xf>
    <xf numFmtId="0" fontId="14" fillId="10" borderId="1" xfId="0" applyFont="1" applyFill="1" applyBorder="1" applyAlignment="1">
      <alignment horizontal="center"/>
    </xf>
    <xf numFmtId="0" fontId="14" fillId="10" borderId="10" xfId="0" applyFont="1" applyFill="1" applyBorder="1" applyAlignment="1">
      <alignment horizontal="center"/>
    </xf>
    <xf numFmtId="0" fontId="14" fillId="12" borderId="1" xfId="0" applyFont="1" applyFill="1" applyBorder="1" applyAlignment="1">
      <alignment horizontal="center"/>
    </xf>
    <xf numFmtId="0" fontId="14" fillId="12" borderId="10" xfId="0" applyFont="1" applyFill="1" applyBorder="1" applyAlignment="1">
      <alignment horizontal="center"/>
    </xf>
    <xf numFmtId="9" fontId="0" fillId="0" borderId="0" xfId="1" applyFont="1"/>
    <xf numFmtId="9" fontId="20" fillId="0" borderId="0" xfId="1" applyFont="1"/>
    <xf numFmtId="0" fontId="0" fillId="0" borderId="0" xfId="1" applyNumberFormat="1" applyFont="1"/>
    <xf numFmtId="0" fontId="20" fillId="0" borderId="0" xfId="1" applyNumberFormat="1" applyFont="1"/>
    <xf numFmtId="0" fontId="1" fillId="0" borderId="0" xfId="0" applyFont="1" applyAlignment="1">
      <alignment vertical="center"/>
    </xf>
    <xf numFmtId="14" fontId="15" fillId="0" borderId="3" xfId="0" applyNumberFormat="1" applyFont="1" applyBorder="1" applyAlignment="1">
      <alignment horizontal="right"/>
    </xf>
    <xf numFmtId="14" fontId="1" fillId="0" borderId="3" xfId="0" applyNumberFormat="1" applyFont="1" applyBorder="1" applyAlignment="1">
      <alignment horizontal="left"/>
    </xf>
    <xf numFmtId="14" fontId="1" fillId="0" borderId="3" xfId="0" applyNumberFormat="1" applyFont="1" applyBorder="1" applyAlignment="1">
      <alignment horizontal="right"/>
    </xf>
    <xf numFmtId="0" fontId="1" fillId="0" borderId="4" xfId="0" applyFont="1" applyBorder="1"/>
    <xf numFmtId="0" fontId="1" fillId="0" borderId="0" xfId="0" applyFont="1"/>
    <xf numFmtId="0" fontId="15" fillId="0" borderId="3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6" xfId="0" applyFont="1" applyBorder="1"/>
    <xf numFmtId="0" fontId="15" fillId="0" borderId="6" xfId="0" applyFont="1" applyBorder="1" applyAlignment="1">
      <alignment horizontal="right"/>
    </xf>
    <xf numFmtId="164" fontId="1" fillId="0" borderId="0" xfId="0" applyNumberFormat="1" applyFont="1" applyAlignment="1">
      <alignment horizontal="right" vertical="center"/>
    </xf>
    <xf numFmtId="164" fontId="15" fillId="0" borderId="6" xfId="0" applyNumberFormat="1" applyFont="1" applyBorder="1"/>
    <xf numFmtId="164" fontId="1" fillId="0" borderId="0" xfId="0" applyNumberFormat="1" applyFont="1"/>
    <xf numFmtId="164" fontId="1" fillId="0" borderId="6" xfId="0" applyNumberFormat="1" applyFont="1" applyBorder="1"/>
    <xf numFmtId="0" fontId="15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5" fillId="0" borderId="9" xfId="0" applyFont="1" applyBorder="1"/>
    <xf numFmtId="164" fontId="1" fillId="0" borderId="8" xfId="0" applyNumberFormat="1" applyFont="1" applyBorder="1"/>
    <xf numFmtId="164" fontId="1" fillId="0" borderId="9" xfId="0" applyNumberFormat="1" applyFont="1" applyBorder="1"/>
    <xf numFmtId="0" fontId="15" fillId="15" borderId="17" xfId="0" applyFont="1" applyFill="1" applyBorder="1" applyAlignment="1">
      <alignment horizontal="center"/>
    </xf>
    <xf numFmtId="0" fontId="15" fillId="15" borderId="18" xfId="0" applyFont="1" applyFill="1" applyBorder="1" applyAlignment="1">
      <alignment horizontal="center"/>
    </xf>
    <xf numFmtId="0" fontId="1" fillId="14" borderId="2" xfId="0" applyFont="1" applyFill="1" applyBorder="1"/>
    <xf numFmtId="14" fontId="1" fillId="14" borderId="4" xfId="0" applyNumberFormat="1" applyFont="1" applyFill="1" applyBorder="1" applyAlignment="1">
      <alignment horizontal="left"/>
    </xf>
    <xf numFmtId="0" fontId="1" fillId="14" borderId="5" xfId="0" applyFont="1" applyFill="1" applyBorder="1"/>
    <xf numFmtId="0" fontId="1" fillId="14" borderId="6" xfId="0" applyFont="1" applyFill="1" applyBorder="1" applyAlignment="1">
      <alignment horizontal="left"/>
    </xf>
    <xf numFmtId="0" fontId="1" fillId="14" borderId="7" xfId="0" applyFont="1" applyFill="1" applyBorder="1"/>
    <xf numFmtId="0" fontId="1" fillId="14" borderId="9" xfId="0" applyFont="1" applyFill="1" applyBorder="1"/>
    <xf numFmtId="14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164" fontId="1" fillId="0" borderId="0" xfId="0" applyNumberFormat="1" applyFont="1" applyAlignment="1">
      <alignment horizontal="left" vertical="center"/>
    </xf>
    <xf numFmtId="0" fontId="1" fillId="0" borderId="0" xfId="0" applyFont="1" applyBorder="1" applyAlignment="1">
      <alignment horizontal="right"/>
    </xf>
    <xf numFmtId="0" fontId="15" fillId="0" borderId="0" xfId="0" applyFont="1" applyBorder="1" applyAlignment="1">
      <alignment horizontal="right"/>
    </xf>
    <xf numFmtId="0" fontId="15" fillId="0" borderId="0" xfId="0" applyFont="1" applyBorder="1"/>
    <xf numFmtId="164" fontId="1" fillId="0" borderId="0" xfId="0" applyNumberFormat="1" applyFont="1" applyBorder="1" applyAlignment="1">
      <alignment horizontal="right" vertical="center"/>
    </xf>
    <xf numFmtId="0" fontId="1" fillId="0" borderId="0" xfId="0" applyFont="1" applyBorder="1"/>
    <xf numFmtId="164" fontId="15" fillId="0" borderId="9" xfId="0" applyNumberFormat="1" applyFont="1" applyBorder="1"/>
    <xf numFmtId="14" fontId="15" fillId="0" borderId="3" xfId="0" applyNumberFormat="1" applyFont="1" applyBorder="1"/>
    <xf numFmtId="164" fontId="1" fillId="0" borderId="0" xfId="0" applyNumberFormat="1" applyFont="1" applyBorder="1"/>
    <xf numFmtId="0" fontId="15" fillId="0" borderId="0" xfId="0" applyFont="1" applyBorder="1" applyAlignment="1">
      <alignment horizontal="left"/>
    </xf>
    <xf numFmtId="9" fontId="20" fillId="0" borderId="0" xfId="0" applyNumberFormat="1" applyFont="1"/>
    <xf numFmtId="0" fontId="1" fillId="2" borderId="6" xfId="0" applyFont="1" applyFill="1" applyBorder="1" applyAlignment="1">
      <alignment horizontal="left" vertical="center"/>
    </xf>
    <xf numFmtId="0" fontId="26" fillId="0" borderId="0" xfId="0" applyNumberFormat="1" applyFont="1" applyAlignment="1">
      <alignment horizontal="left" vertical="center"/>
    </xf>
    <xf numFmtId="167" fontId="1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right" vertical="center"/>
    </xf>
    <xf numFmtId="0" fontId="1" fillId="2" borderId="6" xfId="0" applyFont="1" applyFill="1" applyBorder="1"/>
    <xf numFmtId="0" fontId="1" fillId="0" borderId="0" xfId="0" pivotButton="1" applyFont="1"/>
    <xf numFmtId="0" fontId="1" fillId="0" borderId="0" xfId="0" applyFont="1" applyAlignment="1">
      <alignment horizontal="left" indent="1"/>
    </xf>
  </cellXfs>
  <cellStyles count="3">
    <cellStyle name="Normale" xfId="0" builtinId="0"/>
    <cellStyle name="Percentuale" xfId="1" builtinId="5"/>
    <cellStyle name="Valuta" xfId="2" builtinId="4"/>
  </cellStyles>
  <dxfs count="147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ptos Narrow"/>
        <family val="2"/>
        <scheme val="minor"/>
      </font>
      <numFmt numFmtId="165" formatCode="\€\ #,##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65" formatCode="\€\ #,##0.0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64" formatCode="#,##0.00\ &quot;€&quot;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  <numFmt numFmtId="19" formatCode="dd/mm/yyyy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numFmt numFmtId="164" formatCode="#,##0.00\ &quot;€&quot;"/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font>
        <name val="Aptos Narrow"/>
        <scheme val="minor"/>
      </font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border>
        <left style="thin">
          <color theme="8"/>
        </left>
      </border>
    </dxf>
    <dxf>
      <border>
        <left style="thin">
          <color theme="8"/>
        </left>
      </border>
    </dxf>
    <dxf>
      <border>
        <top style="thin">
          <color theme="8"/>
        </top>
      </border>
    </dxf>
    <dxf>
      <border>
        <top style="thin">
          <color theme="8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color auto="1"/>
      </font>
      <fill>
        <patternFill patternType="solid">
          <fgColor rgb="FFC00000"/>
          <bgColor theme="8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</dxfs>
  <tableStyles count="1" defaultTableStyle="TableStyleMedium2" defaultPivotStyle="PivotStyleLight16">
    <tableStyle name="TableStyleLight13 2" pivot="0" count="9" xr9:uid="{BE8B3DF0-80E7-4DAE-97D3-EED6152632C9}">
      <tableStyleElement type="wholeTable" dxfId="146"/>
      <tableStyleElement type="headerRow" dxfId="145"/>
      <tableStyleElement type="totalRow" dxfId="144"/>
      <tableStyleElement type="firstColumn" dxfId="143"/>
      <tableStyleElement type="lastColumn" dxfId="142"/>
      <tableStyleElement type="firstRowStripe" dxfId="141"/>
      <tableStyleElement type="secondRowStripe" dxfId="140"/>
      <tableStyleElement type="firstColumnStripe" dxfId="139"/>
      <tableStyleElement type="secondColumnStripe" dxfId="138"/>
    </tableStyle>
  </tableStyles>
  <colors>
    <mruColors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5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65000"/>
                <a:lumOff val="35000"/>
              </a:schemeClr>
            </a:solidFill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BA-4134-8BA1-F328F8CA8D70}"/>
              </c:ext>
            </c:extLst>
          </c:dPt>
          <c:dPt>
            <c:idx val="1"/>
            <c:bubble3D val="0"/>
            <c:spPr>
              <a:solidFill>
                <a:srgbClr val="990033"/>
              </a:solidFill>
              <a:ln w="19050">
                <a:solidFill>
                  <a:srgbClr val="99003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BA-4134-8BA1-F328F8CA8D70}"/>
              </c:ext>
            </c:extLst>
          </c:dPt>
          <c:dPt>
            <c:idx val="2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2BA-4134-8BA1-F328F8CA8D70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2BA-4134-8BA1-F328F8CA8D70}"/>
              </c:ext>
            </c:extLst>
          </c:dPt>
          <c:dPt>
            <c:idx val="4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2BA-4134-8BA1-F328F8CA8D70}"/>
              </c:ext>
            </c:extLst>
          </c:dPt>
          <c:dPt>
            <c:idx val="5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</c:dPt>
          <c:cat>
            <c:strRef>
              <c:f>CALCOLI!$R$34:$R$39</c:f>
              <c:strCache>
                <c:ptCount val="6"/>
                <c:pt idx="0">
                  <c:v>necessità</c:v>
                </c:pt>
                <c:pt idx="1">
                  <c:v>svago</c:v>
                </c:pt>
                <c:pt idx="2">
                  <c:v>da rimborsare</c:v>
                </c:pt>
                <c:pt idx="3">
                  <c:v>risparmi</c:v>
                </c:pt>
                <c:pt idx="4">
                  <c:v>investimenti</c:v>
                </c:pt>
                <c:pt idx="5">
                  <c:v>giacenza</c:v>
                </c:pt>
              </c:strCache>
            </c:strRef>
          </c:cat>
          <c:val>
            <c:numRef>
              <c:f>CALCOLI!$S$34:$S$39</c:f>
              <c:numCache>
                <c:formatCode>0%</c:formatCode>
                <c:ptCount val="6"/>
                <c:pt idx="0">
                  <c:v>0.59408972654688996</c:v>
                </c:pt>
                <c:pt idx="1">
                  <c:v>0.25595145860688157</c:v>
                </c:pt>
                <c:pt idx="2">
                  <c:v>1.7697382907753408E-2</c:v>
                </c:pt>
                <c:pt idx="3">
                  <c:v>4.0777379971782053E-2</c:v>
                </c:pt>
                <c:pt idx="4">
                  <c:v>0</c:v>
                </c:pt>
                <c:pt idx="5">
                  <c:v>9.1484051966693E-2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2BA-4134-8BA1-F328F8CA8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4D-43F3-B9AB-5294F2A06CAE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4D-43F3-B9AB-5294F2A06CAE}"/>
              </c:ext>
            </c:extLst>
          </c:dPt>
          <c:cat>
            <c:strRef>
              <c:f>CALCOLI!$R$18:$R$23</c:f>
              <c:strCache>
                <c:ptCount val="6"/>
                <c:pt idx="0">
                  <c:v>necessità</c:v>
                </c:pt>
                <c:pt idx="1">
                  <c:v>svago</c:v>
                </c:pt>
                <c:pt idx="2">
                  <c:v>da rimborsare</c:v>
                </c:pt>
                <c:pt idx="3">
                  <c:v>risparmi</c:v>
                </c:pt>
                <c:pt idx="4">
                  <c:v>investimenti</c:v>
                </c:pt>
                <c:pt idx="5">
                  <c:v>giacenza</c:v>
                </c:pt>
              </c:strCache>
            </c:strRef>
          </c:cat>
          <c:val>
            <c:numRef>
              <c:f>CALCOLI!$V$18:$W$18</c:f>
              <c:numCache>
                <c:formatCode>0%</c:formatCode>
                <c:ptCount val="2"/>
                <c:pt idx="0">
                  <c:v>1.1436279516914019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E4D-43F3-B9AB-5294F2A06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02C-4015-8AB5-2F6B814B939B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2C-4015-8AB5-2F6B814B939B}"/>
              </c:ext>
            </c:extLst>
          </c:dPt>
          <c:cat>
            <c:strRef>
              <c:f>CALCOLI!$R$18:$R$23</c:f>
              <c:strCache>
                <c:ptCount val="6"/>
                <c:pt idx="0">
                  <c:v>necessità</c:v>
                </c:pt>
                <c:pt idx="1">
                  <c:v>svago</c:v>
                </c:pt>
                <c:pt idx="2">
                  <c:v>da rimborsare</c:v>
                </c:pt>
                <c:pt idx="3">
                  <c:v>risparmi</c:v>
                </c:pt>
                <c:pt idx="4">
                  <c:v>investimenti</c:v>
                </c:pt>
                <c:pt idx="5">
                  <c:v>giacenza</c:v>
                </c:pt>
              </c:strCache>
            </c:strRef>
          </c:cat>
          <c:val>
            <c:numRef>
              <c:f>CALCOLI!$V$19:$W$19</c:f>
              <c:numCache>
                <c:formatCode>0%</c:formatCode>
                <c:ptCount val="2"/>
                <c:pt idx="0">
                  <c:v>0.28520499108734404</c:v>
                </c:pt>
                <c:pt idx="1">
                  <c:v>0.71479500891265602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2C-4015-8AB5-2F6B814B9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C6-43F4-BD6F-C8FA99E78EEA}"/>
              </c:ext>
            </c:extLst>
          </c:dPt>
          <c:dPt>
            <c:idx val="1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C6-43F4-BD6F-C8FA99E78EEA}"/>
              </c:ext>
            </c:extLst>
          </c:dPt>
          <c:cat>
            <c:strRef>
              <c:f>CALCOLI!$R$18:$R$23</c:f>
              <c:strCache>
                <c:ptCount val="6"/>
                <c:pt idx="0">
                  <c:v>necessità</c:v>
                </c:pt>
                <c:pt idx="1">
                  <c:v>svago</c:v>
                </c:pt>
                <c:pt idx="2">
                  <c:v>da rimborsare</c:v>
                </c:pt>
                <c:pt idx="3">
                  <c:v>risparmi</c:v>
                </c:pt>
                <c:pt idx="4">
                  <c:v>investimenti</c:v>
                </c:pt>
                <c:pt idx="5">
                  <c:v>giacenza</c:v>
                </c:pt>
              </c:strCache>
            </c:strRef>
          </c:cat>
          <c:val>
            <c:numRef>
              <c:f>CALCOLI!$V$20:$W$20</c:f>
              <c:numCache>
                <c:formatCode>0%</c:formatCode>
                <c:ptCount val="2"/>
                <c:pt idx="0">
                  <c:v>0.31623853240021887</c:v>
                </c:pt>
                <c:pt idx="1">
                  <c:v>0.68376146759978118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C6-43F4-BD6F-C8FA99E78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6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0-44FE-A538-A26549FA0DE4}"/>
              </c:ext>
            </c:extLst>
          </c:dPt>
          <c:dPt>
            <c:idx val="1"/>
            <c:bubble3D val="0"/>
            <c:spPr>
              <a:solidFill>
                <a:srgbClr val="990033"/>
              </a:solidFill>
              <a:ln w="19050">
                <a:solidFill>
                  <a:srgbClr val="99003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70-44FE-A538-A26549FA0DE4}"/>
              </c:ext>
            </c:extLst>
          </c:dPt>
          <c:dPt>
            <c:idx val="2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70-44FE-A538-A26549FA0DE4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570-44FE-A538-A26549FA0DE4}"/>
              </c:ext>
            </c:extLst>
          </c:dPt>
          <c:dPt>
            <c:idx val="4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accent5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570-44FE-A538-A26549FA0DE4}"/>
              </c:ext>
            </c:extLst>
          </c:dPt>
          <c:dPt>
            <c:idx val="5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  <a:ln w="19050">
                <a:noFill/>
              </a:ln>
              <a:effectLst/>
            </c:spPr>
          </c:dPt>
          <c:cat>
            <c:strRef>
              <c:f>CALCOLI!$R$18:$R$23</c:f>
              <c:strCache>
                <c:ptCount val="6"/>
                <c:pt idx="0">
                  <c:v>necessità</c:v>
                </c:pt>
                <c:pt idx="1">
                  <c:v>svago</c:v>
                </c:pt>
                <c:pt idx="2">
                  <c:v>da rimborsare</c:v>
                </c:pt>
                <c:pt idx="3">
                  <c:v>risparmi</c:v>
                </c:pt>
                <c:pt idx="4">
                  <c:v>investimenti</c:v>
                </c:pt>
                <c:pt idx="5">
                  <c:v>giacenza</c:v>
                </c:pt>
              </c:strCache>
            </c:strRef>
          </c:cat>
          <c:val>
            <c:numRef>
              <c:f>CALCOLI!$S$18:$S$23</c:f>
              <c:numCache>
                <c:formatCode>0%</c:formatCode>
                <c:ptCount val="6"/>
                <c:pt idx="0">
                  <c:v>0.57181397584570093</c:v>
                </c:pt>
                <c:pt idx="1">
                  <c:v>8.5561497326203217E-2</c:v>
                </c:pt>
                <c:pt idx="2">
                  <c:v>2.6077029381722044E-2</c:v>
                </c:pt>
                <c:pt idx="3">
                  <c:v>6.008532115604158E-2</c:v>
                </c:pt>
                <c:pt idx="4">
                  <c:v>0</c:v>
                </c:pt>
                <c:pt idx="5">
                  <c:v>0.25646217629033208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570-44FE-A538-A26549FA0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371033756704468E-2"/>
          <c:y val="0.21182784906454843"/>
          <c:w val="0.97125793248659109"/>
          <c:h val="0.5705560671198819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CALCOLI!$AA$3:$AA$3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B1-4F94-9E30-662EE59ED580}"/>
            </c:ext>
          </c:extLst>
        </c:ser>
        <c:ser>
          <c:idx val="1"/>
          <c:order val="1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CALCOLI!$AB$3:$AB$3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B1-4F94-9E30-662EE59ED580}"/>
            </c:ext>
          </c:extLst>
        </c:ser>
        <c:ser>
          <c:idx val="2"/>
          <c:order val="2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CALCOLI!$Z$3:$Z$3</c:f>
              <c:strCache>
                <c:ptCount val="1"/>
                <c:pt idx="0">
                  <c:v>gennaio</c:v>
                </c:pt>
              </c:strCache>
            </c:strRef>
          </c:cat>
          <c:val>
            <c:numRef>
              <c:f>CALCOLI!$AC$3:$AC$3</c:f>
              <c:numCache>
                <c:formatCode>#,##0.00\ "€"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B1-4F94-9E30-662EE59ED5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49"/>
        <c:overlap val="-45"/>
        <c:axId val="804871343"/>
        <c:axId val="804858383"/>
      </c:barChart>
      <c:catAx>
        <c:axId val="804871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04858383"/>
        <c:crosses val="autoZero"/>
        <c:auto val="1"/>
        <c:lblAlgn val="ctr"/>
        <c:lblOffset val="100"/>
        <c:noMultiLvlLbl val="0"/>
      </c:catAx>
      <c:valAx>
        <c:axId val="804858383"/>
        <c:scaling>
          <c:orientation val="minMax"/>
        </c:scaling>
        <c:delete val="1"/>
        <c:axPos val="l"/>
        <c:numFmt formatCode="#,##0.00\ &quot;€&quot;" sourceLinked="1"/>
        <c:majorTickMark val="none"/>
        <c:minorTickMark val="none"/>
        <c:tickLblPos val="nextTo"/>
        <c:crossAx val="804871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318655</xdr:colOff>
      <xdr:row>3</xdr:row>
      <xdr:rowOff>1</xdr:rowOff>
    </xdr:from>
    <xdr:to>
      <xdr:col>35</xdr:col>
      <xdr:colOff>232018</xdr:colOff>
      <xdr:row>27</xdr:row>
      <xdr:rowOff>99634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24375F7-88D6-4EA7-847F-B5ED3444C58F}"/>
            </a:ext>
          </a:extLst>
        </xdr:cNvPr>
        <xdr:cNvGrpSpPr/>
      </xdr:nvGrpSpPr>
      <xdr:grpSpPr>
        <a:xfrm>
          <a:off x="23197705" y="542926"/>
          <a:ext cx="2961363" cy="4443033"/>
          <a:chOff x="12097832" y="7042736"/>
          <a:chExt cx="2961363" cy="4276075"/>
        </a:xfrm>
      </xdr:grpSpPr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9DACEAC4-A800-9543-5413-731FBE9F0E08}"/>
              </a:ext>
            </a:extLst>
          </xdr:cNvPr>
          <xdr:cNvSpPr txBox="1"/>
        </xdr:nvSpPr>
        <xdr:spPr>
          <a:xfrm>
            <a:off x="12547572" y="7042736"/>
            <a:ext cx="2061883" cy="3659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it-IT" sz="2400" b="1">
                <a:solidFill>
                  <a:srgbClr val="FF0000"/>
                </a:solidFill>
              </a:rPr>
              <a:t>PORTAFOGLIO</a:t>
            </a:r>
          </a:p>
        </xdr:txBody>
      </xdr:sp>
      <xdr:grpSp>
        <xdr:nvGrpSpPr>
          <xdr:cNvPr id="6" name="Gruppo 5">
            <a:extLst>
              <a:ext uri="{FF2B5EF4-FFF2-40B4-BE49-F238E27FC236}">
                <a16:creationId xmlns:a16="http://schemas.microsoft.com/office/drawing/2014/main" id="{324D7256-65AC-D754-1708-58CABABCE5C4}"/>
              </a:ext>
            </a:extLst>
          </xdr:cNvPr>
          <xdr:cNvGrpSpPr/>
        </xdr:nvGrpSpPr>
        <xdr:grpSpPr>
          <a:xfrm>
            <a:off x="12466433" y="7493935"/>
            <a:ext cx="2224160" cy="1309386"/>
            <a:chOff x="12262806" y="7263414"/>
            <a:chExt cx="2224160" cy="1269045"/>
          </a:xfrm>
        </xdr:grpSpPr>
        <xdr:grpSp>
          <xdr:nvGrpSpPr>
            <xdr:cNvPr id="12" name="Gruppo 11">
              <a:extLst>
                <a:ext uri="{FF2B5EF4-FFF2-40B4-BE49-F238E27FC236}">
                  <a16:creationId xmlns:a16="http://schemas.microsoft.com/office/drawing/2014/main" id="{4869D5BE-B2A8-4C74-CA40-ABA14D338583}"/>
                </a:ext>
              </a:extLst>
            </xdr:cNvPr>
            <xdr:cNvGrpSpPr/>
          </xdr:nvGrpSpPr>
          <xdr:grpSpPr>
            <a:xfrm>
              <a:off x="12262806" y="7263414"/>
              <a:ext cx="900892" cy="560512"/>
              <a:chOff x="12181646" y="9838508"/>
              <a:chExt cx="900892" cy="570165"/>
            </a:xfrm>
          </xdr:grpSpPr>
          <xdr:sp macro="" textlink="">
            <xdr:nvSpPr>
              <xdr:cNvPr id="22" name="CasellaDiTesto 21">
                <a:extLst>
                  <a:ext uri="{FF2B5EF4-FFF2-40B4-BE49-F238E27FC236}">
                    <a16:creationId xmlns:a16="http://schemas.microsoft.com/office/drawing/2014/main" id="{913BED51-74CC-6B4D-0B59-D25BB27358ED}"/>
                  </a:ext>
                </a:extLst>
              </xdr:cNvPr>
              <xdr:cNvSpPr txBox="1"/>
            </xdr:nvSpPr>
            <xdr:spPr>
              <a:xfrm>
                <a:off x="12181646" y="9838508"/>
                <a:ext cx="900892" cy="3375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NECESSITÀ</a:t>
                </a:r>
              </a:p>
            </xdr:txBody>
          </xdr:sp>
          <xdr:sp macro="" textlink="CALCOLI!S34">
            <xdr:nvSpPr>
              <xdr:cNvPr id="23" name="CasellaDiTesto 22">
                <a:extLst>
                  <a:ext uri="{FF2B5EF4-FFF2-40B4-BE49-F238E27FC236}">
                    <a16:creationId xmlns:a16="http://schemas.microsoft.com/office/drawing/2014/main" id="{3CEF4911-116B-E5C1-D5EF-4AA519704EA5}"/>
                  </a:ext>
                </a:extLst>
              </xdr:cNvPr>
              <xdr:cNvSpPr txBox="1"/>
            </xdr:nvSpPr>
            <xdr:spPr>
              <a:xfrm>
                <a:off x="12225409" y="10097893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B30101E0-3DD8-4C36-B8E7-1DD416E369F7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59%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3" name="Gruppo 12">
              <a:extLst>
                <a:ext uri="{FF2B5EF4-FFF2-40B4-BE49-F238E27FC236}">
                  <a16:creationId xmlns:a16="http://schemas.microsoft.com/office/drawing/2014/main" id="{364747B3-6022-0A3F-9F33-5ADC1A49C049}"/>
                </a:ext>
              </a:extLst>
            </xdr:cNvPr>
            <xdr:cNvGrpSpPr/>
          </xdr:nvGrpSpPr>
          <xdr:grpSpPr>
            <a:xfrm>
              <a:off x="13469384" y="7263414"/>
              <a:ext cx="900892" cy="551868"/>
              <a:chOff x="13329805" y="9805176"/>
              <a:chExt cx="900892" cy="561372"/>
            </a:xfrm>
          </xdr:grpSpPr>
          <xdr:sp macro="" textlink="">
            <xdr:nvSpPr>
              <xdr:cNvPr id="20" name="CasellaDiTesto 19">
                <a:extLst>
                  <a:ext uri="{FF2B5EF4-FFF2-40B4-BE49-F238E27FC236}">
                    <a16:creationId xmlns:a16="http://schemas.microsoft.com/office/drawing/2014/main" id="{4D94C0DB-7199-88EC-452C-6F4DE2A0B4D7}"/>
                  </a:ext>
                </a:extLst>
              </xdr:cNvPr>
              <xdr:cNvSpPr txBox="1"/>
            </xdr:nvSpPr>
            <xdr:spPr>
              <a:xfrm>
                <a:off x="13329805" y="9805176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SVAGO</a:t>
                </a:r>
              </a:p>
            </xdr:txBody>
          </xdr:sp>
          <xdr:sp macro="" textlink="CALCOLI!S35">
            <xdr:nvSpPr>
              <xdr:cNvPr id="21" name="CasellaDiTesto 20">
                <a:extLst>
                  <a:ext uri="{FF2B5EF4-FFF2-40B4-BE49-F238E27FC236}">
                    <a16:creationId xmlns:a16="http://schemas.microsoft.com/office/drawing/2014/main" id="{2B4E4745-7D01-8CBB-D2F3-B41CEA92F35C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9592849-1DAA-460C-A74B-CB4C7A6E11AF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26%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4" name="Gruppo 13">
              <a:extLst>
                <a:ext uri="{FF2B5EF4-FFF2-40B4-BE49-F238E27FC236}">
                  <a16:creationId xmlns:a16="http://schemas.microsoft.com/office/drawing/2014/main" id="{09895F55-A50D-F7D3-9E1E-28CF2FD75D4D}"/>
                </a:ext>
              </a:extLst>
            </xdr:cNvPr>
            <xdr:cNvGrpSpPr/>
          </xdr:nvGrpSpPr>
          <xdr:grpSpPr>
            <a:xfrm>
              <a:off x="12262806" y="7980590"/>
              <a:ext cx="900892" cy="551869"/>
              <a:chOff x="13329805" y="9805175"/>
              <a:chExt cx="900892" cy="561373"/>
            </a:xfrm>
          </xdr:grpSpPr>
          <xdr:sp macro="" textlink="">
            <xdr:nvSpPr>
              <xdr:cNvPr id="18" name="CasellaDiTesto 17">
                <a:extLst>
                  <a:ext uri="{FF2B5EF4-FFF2-40B4-BE49-F238E27FC236}">
                    <a16:creationId xmlns:a16="http://schemas.microsoft.com/office/drawing/2014/main" id="{F6911C10-5416-240F-705B-6B69675E6C95}"/>
                  </a:ext>
                </a:extLst>
              </xdr:cNvPr>
              <xdr:cNvSpPr txBox="1"/>
            </xdr:nvSpPr>
            <xdr:spPr>
              <a:xfrm>
                <a:off x="13329805" y="9805175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RISPARMI</a:t>
                </a:r>
              </a:p>
            </xdr:txBody>
          </xdr:sp>
          <xdr:sp macro="" textlink="CALCOLI!S37">
            <xdr:nvSpPr>
              <xdr:cNvPr id="19" name="CasellaDiTesto 18">
                <a:extLst>
                  <a:ext uri="{FF2B5EF4-FFF2-40B4-BE49-F238E27FC236}">
                    <a16:creationId xmlns:a16="http://schemas.microsoft.com/office/drawing/2014/main" id="{1B0169CC-E144-1311-D02A-E70829D5319D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EB402E5-8FBE-4F6E-8555-8BFB415AF87A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4%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15" name="Gruppo 14">
              <a:extLst>
                <a:ext uri="{FF2B5EF4-FFF2-40B4-BE49-F238E27FC236}">
                  <a16:creationId xmlns:a16="http://schemas.microsoft.com/office/drawing/2014/main" id="{E306D6D4-988A-A274-2B9E-535F51AC2DB5}"/>
                </a:ext>
              </a:extLst>
            </xdr:cNvPr>
            <xdr:cNvGrpSpPr/>
          </xdr:nvGrpSpPr>
          <xdr:grpSpPr>
            <a:xfrm>
              <a:off x="13352695" y="7980591"/>
              <a:ext cx="1134271" cy="551868"/>
              <a:chOff x="13289940" y="7944731"/>
              <a:chExt cx="1134271" cy="551868"/>
            </a:xfrm>
          </xdr:grpSpPr>
          <xdr:sp macro="" textlink="">
            <xdr:nvSpPr>
              <xdr:cNvPr id="16" name="CasellaDiTesto 15">
                <a:extLst>
                  <a:ext uri="{FF2B5EF4-FFF2-40B4-BE49-F238E27FC236}">
                    <a16:creationId xmlns:a16="http://schemas.microsoft.com/office/drawing/2014/main" id="{4776352A-C5A1-CEA8-0701-44DB14DB14F9}"/>
                  </a:ext>
                </a:extLst>
              </xdr:cNvPr>
              <xdr:cNvSpPr txBox="1"/>
            </xdr:nvSpPr>
            <xdr:spPr>
              <a:xfrm>
                <a:off x="13289940" y="7944731"/>
                <a:ext cx="1134271" cy="3242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INVESTIMENTI</a:t>
                </a:r>
              </a:p>
            </xdr:txBody>
          </xdr:sp>
          <xdr:sp macro="" textlink="CALCOLI!S38">
            <xdr:nvSpPr>
              <xdr:cNvPr id="17" name="CasellaDiTesto 16">
                <a:extLst>
                  <a:ext uri="{FF2B5EF4-FFF2-40B4-BE49-F238E27FC236}">
                    <a16:creationId xmlns:a16="http://schemas.microsoft.com/office/drawing/2014/main" id="{09FA9A48-C487-2757-0EED-1067DFA55782}"/>
                  </a:ext>
                </a:extLst>
              </xdr:cNvPr>
              <xdr:cNvSpPr txBox="1"/>
            </xdr:nvSpPr>
            <xdr:spPr>
              <a:xfrm>
                <a:off x="13450392" y="8191080"/>
                <a:ext cx="813366" cy="3055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D2CD0A9-9E86-408E-AE49-4AA6712ABE58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</xdr:grpSp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D10C6A84-04F3-FED0-001F-CB47226CE497}"/>
              </a:ext>
            </a:extLst>
          </xdr:cNvPr>
          <xdr:cNvGraphicFramePr>
            <a:graphicFrameLocks/>
          </xdr:cNvGraphicFramePr>
        </xdr:nvGraphicFramePr>
        <xdr:xfrm>
          <a:off x="12097832" y="8846753"/>
          <a:ext cx="2961363" cy="247205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9" name="Gruppo 8">
            <a:extLst>
              <a:ext uri="{FF2B5EF4-FFF2-40B4-BE49-F238E27FC236}">
                <a16:creationId xmlns:a16="http://schemas.microsoft.com/office/drawing/2014/main" id="{77D9FCF4-26A9-184C-982F-1909B890D5E7}"/>
              </a:ext>
            </a:extLst>
          </xdr:cNvPr>
          <xdr:cNvGrpSpPr/>
        </xdr:nvGrpSpPr>
        <xdr:grpSpPr>
          <a:xfrm>
            <a:off x="12873060" y="9699540"/>
            <a:ext cx="1410907" cy="766482"/>
            <a:chOff x="13025460" y="9738832"/>
            <a:chExt cx="1410907" cy="768374"/>
          </a:xfrm>
        </xdr:grpSpPr>
        <xdr:sp macro="" textlink="CALCOLI!P37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F0D853BC-6A0D-C68A-43CF-0EC1C208331C}"/>
                </a:ext>
              </a:extLst>
            </xdr:cNvPr>
            <xdr:cNvSpPr txBox="1"/>
          </xdr:nvSpPr>
          <xdr:spPr>
            <a:xfrm>
              <a:off x="13025460" y="9950471"/>
              <a:ext cx="1410907" cy="55673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A20B2FC-803D-44FD-809F-CDA2E5C4A6C2}" type="TxLink">
                <a:rPr lang="en-US" sz="24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 Narrow"/>
                </a:rPr>
                <a:pPr algn="ctr"/>
                <a:t>2.452,34 €</a:t>
              </a:fld>
              <a:endParaRPr lang="it-IT" sz="2400" b="1" u="none">
                <a:solidFill>
                  <a:schemeClr val="accent6">
                    <a:lumMod val="75000"/>
                  </a:schemeClr>
                </a:solidFill>
                <a:latin typeface="Aptos Narrow (Corpo)"/>
              </a:endParaRPr>
            </a:p>
          </xdr:txBody>
        </xdr:sp>
        <xdr:sp macro="" textlink="">
          <xdr:nvSpPr>
            <xdr:cNvPr id="11" name="CasellaDiTesto 10">
              <a:extLst>
                <a:ext uri="{FF2B5EF4-FFF2-40B4-BE49-F238E27FC236}">
                  <a16:creationId xmlns:a16="http://schemas.microsoft.com/office/drawing/2014/main" id="{D141F0DB-5C14-15C7-9F15-FBD181EC507D}"/>
                </a:ext>
              </a:extLst>
            </xdr:cNvPr>
            <xdr:cNvSpPr txBox="1"/>
          </xdr:nvSpPr>
          <xdr:spPr>
            <a:xfrm>
              <a:off x="13070238" y="9738832"/>
              <a:ext cx="1321351" cy="3669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400" b="1">
                  <a:solidFill>
                    <a:schemeClr val="accent6">
                      <a:lumMod val="75000"/>
                    </a:schemeClr>
                  </a:solidFill>
                </a:rPr>
                <a:t>ENTRATE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289560</xdr:colOff>
      <xdr:row>15</xdr:row>
      <xdr:rowOff>114300</xdr:rowOff>
    </xdr:from>
    <xdr:to>
      <xdr:col>26</xdr:col>
      <xdr:colOff>175260</xdr:colOff>
      <xdr:row>19</xdr:row>
      <xdr:rowOff>152400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21C36169-292F-D0E2-3409-50663CA8C424}"/>
            </a:ext>
          </a:extLst>
        </xdr:cNvPr>
        <xdr:cNvSpPr txBox="1"/>
      </xdr:nvSpPr>
      <xdr:spPr>
        <a:xfrm>
          <a:off x="20749260" y="2948940"/>
          <a:ext cx="1226820" cy="81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100" b="1"/>
            <a:t>totale deve stare</a:t>
          </a:r>
          <a:r>
            <a:rPr lang="it-IT" sz="1100" b="1" baseline="0"/>
            <a:t> scritto sotto la tabella senza farne parte</a:t>
          </a:r>
          <a:endParaRPr lang="it-IT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81343</xdr:colOff>
      <xdr:row>1</xdr:row>
      <xdr:rowOff>161365</xdr:rowOff>
    </xdr:from>
    <xdr:to>
      <xdr:col>18</xdr:col>
      <xdr:colOff>198317</xdr:colOff>
      <xdr:row>3</xdr:row>
      <xdr:rowOff>159532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2E9E72D4-8FF7-4E85-82E9-F6F9C3D2576C}"/>
            </a:ext>
          </a:extLst>
        </xdr:cNvPr>
        <xdr:cNvSpPr txBox="1"/>
      </xdr:nvSpPr>
      <xdr:spPr>
        <a:xfrm>
          <a:off x="10838990" y="340659"/>
          <a:ext cx="1945774" cy="3567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 b="1"/>
            <a:t>AGGIORNA</a:t>
          </a:r>
          <a:endParaRPr lang="it-IT" sz="4400" b="1"/>
        </a:p>
      </xdr:txBody>
    </xdr:sp>
    <xdr:clientData/>
  </xdr:twoCellAnchor>
  <xdr:twoCellAnchor>
    <xdr:from>
      <xdr:col>15</xdr:col>
      <xdr:colOff>8965</xdr:colOff>
      <xdr:row>3</xdr:row>
      <xdr:rowOff>162035</xdr:rowOff>
    </xdr:from>
    <xdr:to>
      <xdr:col>18</xdr:col>
      <xdr:colOff>270695</xdr:colOff>
      <xdr:row>7</xdr:row>
      <xdr:rowOff>91440</xdr:rowOff>
    </xdr:to>
    <xdr:sp macro="[0]!Foglio8.AggiornaPivot" textlink="">
      <xdr:nvSpPr>
        <xdr:cNvPr id="3" name="Rettangolo con angoli arrotondati 2">
          <a:extLst>
            <a:ext uri="{FF2B5EF4-FFF2-40B4-BE49-F238E27FC236}">
              <a16:creationId xmlns:a16="http://schemas.microsoft.com/office/drawing/2014/main" id="{47394488-A1B7-4DF8-977B-B8B08FAEDC66}"/>
            </a:ext>
          </a:extLst>
        </xdr:cNvPr>
        <xdr:cNvSpPr/>
      </xdr:nvSpPr>
      <xdr:spPr>
        <a:xfrm>
          <a:off x="10044505" y="710675"/>
          <a:ext cx="2090530" cy="660925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 editAs="oneCell">
    <xdr:from>
      <xdr:col>4</xdr:col>
      <xdr:colOff>45720</xdr:colOff>
      <xdr:row>0</xdr:row>
      <xdr:rowOff>38101</xdr:rowOff>
    </xdr:from>
    <xdr:to>
      <xdr:col>13</xdr:col>
      <xdr:colOff>784860</xdr:colOff>
      <xdr:row>5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gamento">
              <a:extLst>
                <a:ext uri="{FF2B5EF4-FFF2-40B4-BE49-F238E27FC236}">
                  <a16:creationId xmlns:a16="http://schemas.microsoft.com/office/drawing/2014/main" id="{7AF34A2D-63C7-EF92-99EF-732EDA984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g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66160" y="38101"/>
              <a:ext cx="5478780" cy="7848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22860</xdr:colOff>
      <xdr:row>0</xdr:row>
      <xdr:rowOff>30481</xdr:rowOff>
    </xdr:from>
    <xdr:to>
      <xdr:col>2</xdr:col>
      <xdr:colOff>236220</xdr:colOff>
      <xdr:row>4</xdr:row>
      <xdr:rowOff>91440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Intestatario">
              <a:extLst>
                <a:ext uri="{FF2B5EF4-FFF2-40B4-BE49-F238E27FC236}">
                  <a16:creationId xmlns:a16="http://schemas.microsoft.com/office/drawing/2014/main" id="{A33E5117-4DB7-E259-D800-DA95841AB7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testata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860" y="30481"/>
              <a:ext cx="3482340" cy="792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128155</xdr:colOff>
      <xdr:row>2</xdr:row>
      <xdr:rowOff>29440</xdr:rowOff>
    </xdr:from>
    <xdr:to>
      <xdr:col>26</xdr:col>
      <xdr:colOff>419100</xdr:colOff>
      <xdr:row>68</xdr:row>
      <xdr:rowOff>109105</xdr:rowOff>
    </xdr:to>
    <xdr:sp macro="" textlink="">
      <xdr:nvSpPr>
        <xdr:cNvPr id="48" name="Rettangolo con angoli arrotondati 47">
          <a:extLst>
            <a:ext uri="{FF2B5EF4-FFF2-40B4-BE49-F238E27FC236}">
              <a16:creationId xmlns:a16="http://schemas.microsoft.com/office/drawing/2014/main" id="{CC0773E0-9D8C-3869-6D4C-706E89525424}"/>
            </a:ext>
          </a:extLst>
        </xdr:cNvPr>
        <xdr:cNvSpPr/>
      </xdr:nvSpPr>
      <xdr:spPr>
        <a:xfrm>
          <a:off x="5614555" y="389658"/>
          <a:ext cx="10654145" cy="11966865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0</xdr:col>
      <xdr:colOff>484909</xdr:colOff>
      <xdr:row>7</xdr:row>
      <xdr:rowOff>99027</xdr:rowOff>
    </xdr:from>
    <xdr:to>
      <xdr:col>8</xdr:col>
      <xdr:colOff>193964</xdr:colOff>
      <xdr:row>48</xdr:row>
      <xdr:rowOff>136500</xdr:rowOff>
    </xdr:to>
    <xdr:grpSp>
      <xdr:nvGrpSpPr>
        <xdr:cNvPr id="252" name="Gruppo 251">
          <a:extLst>
            <a:ext uri="{FF2B5EF4-FFF2-40B4-BE49-F238E27FC236}">
              <a16:creationId xmlns:a16="http://schemas.microsoft.com/office/drawing/2014/main" id="{1C5C53D7-B344-9C45-57BF-056FD3273832}"/>
            </a:ext>
          </a:extLst>
        </xdr:cNvPr>
        <xdr:cNvGrpSpPr/>
      </xdr:nvGrpSpPr>
      <xdr:grpSpPr>
        <a:xfrm>
          <a:off x="484909" y="1402894"/>
          <a:ext cx="4585855" cy="7674406"/>
          <a:chOff x="387927" y="969818"/>
          <a:chExt cx="4585855" cy="7421945"/>
        </a:xfrm>
      </xdr:grpSpPr>
      <xdr:grpSp>
        <xdr:nvGrpSpPr>
          <xdr:cNvPr id="250" name="Gruppo 249">
            <a:extLst>
              <a:ext uri="{FF2B5EF4-FFF2-40B4-BE49-F238E27FC236}">
                <a16:creationId xmlns:a16="http://schemas.microsoft.com/office/drawing/2014/main" id="{623D4348-5EF5-6B77-6D14-2719CCD49A23}"/>
              </a:ext>
            </a:extLst>
          </xdr:cNvPr>
          <xdr:cNvGrpSpPr/>
        </xdr:nvGrpSpPr>
        <xdr:grpSpPr>
          <a:xfrm>
            <a:off x="457953" y="1865487"/>
            <a:ext cx="4445803" cy="6526276"/>
            <a:chOff x="479714" y="1865487"/>
            <a:chExt cx="4445803" cy="6526276"/>
          </a:xfrm>
        </xdr:grpSpPr>
        <xdr:grpSp>
          <xdr:nvGrpSpPr>
            <xdr:cNvPr id="237" name="Gruppo 236">
              <a:extLst>
                <a:ext uri="{FF2B5EF4-FFF2-40B4-BE49-F238E27FC236}">
                  <a16:creationId xmlns:a16="http://schemas.microsoft.com/office/drawing/2014/main" id="{D5C590D7-81E8-81C6-DDA4-E38E95D07139}"/>
                </a:ext>
              </a:extLst>
            </xdr:cNvPr>
            <xdr:cNvGrpSpPr/>
          </xdr:nvGrpSpPr>
          <xdr:grpSpPr>
            <a:xfrm>
              <a:off x="479714" y="2992428"/>
              <a:ext cx="2090530" cy="891571"/>
              <a:chOff x="193964" y="2092036"/>
              <a:chExt cx="2090530" cy="891571"/>
            </a:xfrm>
          </xdr:grpSpPr>
          <xdr:sp macro="" textlink="">
            <xdr:nvSpPr>
              <xdr:cNvPr id="214" name="CasellaDiTesto 213">
                <a:extLst>
                  <a:ext uri="{FF2B5EF4-FFF2-40B4-BE49-F238E27FC236}">
                    <a16:creationId xmlns:a16="http://schemas.microsoft.com/office/drawing/2014/main" id="{4D562F27-C010-40E8-BE9C-10DC64EFA4DD}"/>
                  </a:ext>
                </a:extLst>
              </xdr:cNvPr>
              <xdr:cNvSpPr txBox="1"/>
            </xdr:nvSpPr>
            <xdr:spPr>
              <a:xfrm>
                <a:off x="193964" y="2092036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MARZO</a:t>
                </a:r>
                <a:endParaRPr lang="it-IT" sz="4400" b="1"/>
              </a:p>
            </xdr:txBody>
          </xdr:sp>
          <xdr:sp macro="[0]!MARZO" textlink="">
            <xdr:nvSpPr>
              <xdr:cNvPr id="215" name="Rettangolo con angoli arrotondati 214">
                <a:extLst>
                  <a:ext uri="{FF2B5EF4-FFF2-40B4-BE49-F238E27FC236}">
                    <a16:creationId xmlns:a16="http://schemas.microsoft.com/office/drawing/2014/main" id="{84A881C1-96F9-4083-8092-34B52E56BEE9}"/>
                  </a:ext>
                </a:extLst>
              </xdr:cNvPr>
              <xdr:cNvSpPr/>
            </xdr:nvSpPr>
            <xdr:spPr>
              <a:xfrm>
                <a:off x="193964" y="2431792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38" name="Gruppo 237">
              <a:extLst>
                <a:ext uri="{FF2B5EF4-FFF2-40B4-BE49-F238E27FC236}">
                  <a16:creationId xmlns:a16="http://schemas.microsoft.com/office/drawing/2014/main" id="{21396BFF-19E5-8EEB-61DA-F1AE94CBC369}"/>
                </a:ext>
              </a:extLst>
            </xdr:cNvPr>
            <xdr:cNvGrpSpPr/>
          </xdr:nvGrpSpPr>
          <xdr:grpSpPr>
            <a:xfrm>
              <a:off x="479714" y="4119369"/>
              <a:ext cx="2090530" cy="891571"/>
              <a:chOff x="193964" y="3228109"/>
              <a:chExt cx="2090530" cy="891571"/>
            </a:xfrm>
          </xdr:grpSpPr>
          <xdr:sp macro="" textlink="">
            <xdr:nvSpPr>
              <xdr:cNvPr id="216" name="CasellaDiTesto 215">
                <a:extLst>
                  <a:ext uri="{FF2B5EF4-FFF2-40B4-BE49-F238E27FC236}">
                    <a16:creationId xmlns:a16="http://schemas.microsoft.com/office/drawing/2014/main" id="{39E2176E-4E65-4F9F-82E4-E23F01DF0E8C}"/>
                  </a:ext>
                </a:extLst>
              </xdr:cNvPr>
              <xdr:cNvSpPr txBox="1"/>
            </xdr:nvSpPr>
            <xdr:spPr>
              <a:xfrm>
                <a:off x="193964" y="3228109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MAGGIO</a:t>
                </a:r>
                <a:endParaRPr lang="it-IT" sz="4400" b="1"/>
              </a:p>
            </xdr:txBody>
          </xdr:sp>
          <xdr:sp macro="[0]!MAGGIO" textlink="">
            <xdr:nvSpPr>
              <xdr:cNvPr id="217" name="Rettangolo con angoli arrotondati 216">
                <a:extLst>
                  <a:ext uri="{FF2B5EF4-FFF2-40B4-BE49-F238E27FC236}">
                    <a16:creationId xmlns:a16="http://schemas.microsoft.com/office/drawing/2014/main" id="{B3C78A7D-9859-4AD5-B0DC-DADB4A4B2319}"/>
                  </a:ext>
                </a:extLst>
              </xdr:cNvPr>
              <xdr:cNvSpPr/>
            </xdr:nvSpPr>
            <xdr:spPr>
              <a:xfrm>
                <a:off x="193964" y="3567865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9" name="Gruppo 248">
              <a:extLst>
                <a:ext uri="{FF2B5EF4-FFF2-40B4-BE49-F238E27FC236}">
                  <a16:creationId xmlns:a16="http://schemas.microsoft.com/office/drawing/2014/main" id="{DC7206F3-9175-F73C-C17C-7AE42C135372}"/>
                </a:ext>
              </a:extLst>
            </xdr:cNvPr>
            <xdr:cNvGrpSpPr/>
          </xdr:nvGrpSpPr>
          <xdr:grpSpPr>
            <a:xfrm>
              <a:off x="479714" y="1865487"/>
              <a:ext cx="4445803" cy="891571"/>
              <a:chOff x="479714" y="1865487"/>
              <a:chExt cx="4445803" cy="891571"/>
            </a:xfrm>
          </xdr:grpSpPr>
          <xdr:grpSp>
            <xdr:nvGrpSpPr>
              <xdr:cNvPr id="236" name="Gruppo 235">
                <a:extLst>
                  <a:ext uri="{FF2B5EF4-FFF2-40B4-BE49-F238E27FC236}">
                    <a16:creationId xmlns:a16="http://schemas.microsoft.com/office/drawing/2014/main" id="{DAD5EFB0-DFDC-BDE6-016E-2CC1CD3D6BC1}"/>
                  </a:ext>
                </a:extLst>
              </xdr:cNvPr>
              <xdr:cNvGrpSpPr/>
            </xdr:nvGrpSpPr>
            <xdr:grpSpPr>
              <a:xfrm>
                <a:off x="479714" y="1865487"/>
                <a:ext cx="2090530" cy="891571"/>
                <a:chOff x="193964" y="951084"/>
                <a:chExt cx="2090530" cy="891571"/>
              </a:xfrm>
            </xdr:grpSpPr>
            <xdr:sp macro="" textlink="">
              <xdr:nvSpPr>
                <xdr:cNvPr id="212" name="CasellaDiTesto 211">
                  <a:extLst>
                    <a:ext uri="{FF2B5EF4-FFF2-40B4-BE49-F238E27FC236}">
                      <a16:creationId xmlns:a16="http://schemas.microsoft.com/office/drawing/2014/main" id="{4C970093-5E20-4395-A233-21EFCC412A2C}"/>
                    </a:ext>
                  </a:extLst>
                </xdr:cNvPr>
                <xdr:cNvSpPr txBox="1"/>
              </xdr:nvSpPr>
              <xdr:spPr>
                <a:xfrm>
                  <a:off x="193964" y="951084"/>
                  <a:ext cx="1945774" cy="337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2800" b="1"/>
                    <a:t>GENNAIO</a:t>
                  </a:r>
                  <a:endParaRPr lang="it-IT" sz="4400" b="1"/>
                </a:p>
              </xdr:txBody>
            </xdr:sp>
            <xdr:sp macro="[0]!GENNAIO" textlink="">
              <xdr:nvSpPr>
                <xdr:cNvPr id="213" name="Rettangolo con angoli arrotondati 212">
                  <a:extLst>
                    <a:ext uri="{FF2B5EF4-FFF2-40B4-BE49-F238E27FC236}">
                      <a16:creationId xmlns:a16="http://schemas.microsoft.com/office/drawing/2014/main" id="{C9139A26-AA69-B130-9685-454BE3846A2B}"/>
                    </a:ext>
                  </a:extLst>
                </xdr:cNvPr>
                <xdr:cNvSpPr/>
              </xdr:nvSpPr>
              <xdr:spPr>
                <a:xfrm>
                  <a:off x="193964" y="1290840"/>
                  <a:ext cx="2090530" cy="551815"/>
                </a:xfrm>
                <a:prstGeom prst="roundRect">
                  <a:avLst/>
                </a:prstGeom>
                <a:solidFill>
                  <a:schemeClr val="tx1">
                    <a:lumMod val="65000"/>
                    <a:lumOff val="3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it-IT" sz="1100"/>
                </a:p>
              </xdr:txBody>
            </xdr:sp>
          </xdr:grpSp>
          <xdr:grpSp>
            <xdr:nvGrpSpPr>
              <xdr:cNvPr id="242" name="Gruppo 241">
                <a:extLst>
                  <a:ext uri="{FF2B5EF4-FFF2-40B4-BE49-F238E27FC236}">
                    <a16:creationId xmlns:a16="http://schemas.microsoft.com/office/drawing/2014/main" id="{0D0E7F8F-9FCC-22D5-135C-DF046D058107}"/>
                  </a:ext>
                </a:extLst>
              </xdr:cNvPr>
              <xdr:cNvGrpSpPr/>
            </xdr:nvGrpSpPr>
            <xdr:grpSpPr>
              <a:xfrm>
                <a:off x="2834987" y="1865487"/>
                <a:ext cx="2090530" cy="891571"/>
                <a:chOff x="2549237" y="983673"/>
                <a:chExt cx="2090530" cy="891571"/>
              </a:xfrm>
            </xdr:grpSpPr>
            <xdr:sp macro="" textlink="">
              <xdr:nvSpPr>
                <xdr:cNvPr id="218" name="CasellaDiTesto 217">
                  <a:extLst>
                    <a:ext uri="{FF2B5EF4-FFF2-40B4-BE49-F238E27FC236}">
                      <a16:creationId xmlns:a16="http://schemas.microsoft.com/office/drawing/2014/main" id="{F6C88E4E-A81A-4B49-8798-446B136F33B0}"/>
                    </a:ext>
                  </a:extLst>
                </xdr:cNvPr>
                <xdr:cNvSpPr txBox="1"/>
              </xdr:nvSpPr>
              <xdr:spPr>
                <a:xfrm>
                  <a:off x="2549237" y="983673"/>
                  <a:ext cx="1945774" cy="3373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2800" b="1"/>
                    <a:t>FEBBRAIO</a:t>
                  </a:r>
                  <a:endParaRPr lang="it-IT" sz="4400" b="1"/>
                </a:p>
              </xdr:txBody>
            </xdr:sp>
            <xdr:sp macro="[0]!FEBBRAIO" textlink="">
              <xdr:nvSpPr>
                <xdr:cNvPr id="219" name="Rettangolo con angoli arrotondati 218">
                  <a:extLst>
                    <a:ext uri="{FF2B5EF4-FFF2-40B4-BE49-F238E27FC236}">
                      <a16:creationId xmlns:a16="http://schemas.microsoft.com/office/drawing/2014/main" id="{37141AB9-58FC-4F09-BF13-5EBC09F287BD}"/>
                    </a:ext>
                  </a:extLst>
                </xdr:cNvPr>
                <xdr:cNvSpPr/>
              </xdr:nvSpPr>
              <xdr:spPr>
                <a:xfrm>
                  <a:off x="2549237" y="1323429"/>
                  <a:ext cx="2090530" cy="551815"/>
                </a:xfrm>
                <a:prstGeom prst="roundRect">
                  <a:avLst/>
                </a:prstGeom>
                <a:solidFill>
                  <a:schemeClr val="tx1">
                    <a:lumMod val="65000"/>
                    <a:lumOff val="35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it-IT" sz="1100"/>
                </a:p>
              </xdr:txBody>
            </xdr:sp>
          </xdr:grpSp>
        </xdr:grpSp>
        <xdr:grpSp>
          <xdr:nvGrpSpPr>
            <xdr:cNvPr id="243" name="Gruppo 242">
              <a:extLst>
                <a:ext uri="{FF2B5EF4-FFF2-40B4-BE49-F238E27FC236}">
                  <a16:creationId xmlns:a16="http://schemas.microsoft.com/office/drawing/2014/main" id="{D9DB631E-C4E7-EE97-7B5A-4BF5203CAD51}"/>
                </a:ext>
              </a:extLst>
            </xdr:cNvPr>
            <xdr:cNvGrpSpPr/>
          </xdr:nvGrpSpPr>
          <xdr:grpSpPr>
            <a:xfrm>
              <a:off x="2834987" y="2992428"/>
              <a:ext cx="2090530" cy="891571"/>
              <a:chOff x="2549237" y="2124625"/>
              <a:chExt cx="2090530" cy="891571"/>
            </a:xfrm>
          </xdr:grpSpPr>
          <xdr:sp macro="" textlink="">
            <xdr:nvSpPr>
              <xdr:cNvPr id="220" name="CasellaDiTesto 219">
                <a:extLst>
                  <a:ext uri="{FF2B5EF4-FFF2-40B4-BE49-F238E27FC236}">
                    <a16:creationId xmlns:a16="http://schemas.microsoft.com/office/drawing/2014/main" id="{18EB9490-11E1-4450-A5D6-9B767941584E}"/>
                  </a:ext>
                </a:extLst>
              </xdr:cNvPr>
              <xdr:cNvSpPr txBox="1"/>
            </xdr:nvSpPr>
            <xdr:spPr>
              <a:xfrm>
                <a:off x="2549237" y="2124625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APRILE</a:t>
                </a:r>
                <a:endParaRPr lang="it-IT" sz="4400" b="1"/>
              </a:p>
            </xdr:txBody>
          </xdr:sp>
          <xdr:sp macro="[0]!APRILE" textlink="">
            <xdr:nvSpPr>
              <xdr:cNvPr id="221" name="Rettangolo con angoli arrotondati 220">
                <a:extLst>
                  <a:ext uri="{FF2B5EF4-FFF2-40B4-BE49-F238E27FC236}">
                    <a16:creationId xmlns:a16="http://schemas.microsoft.com/office/drawing/2014/main" id="{A4BCF21C-1249-4F01-8FA0-595DEA8485B0}"/>
                  </a:ext>
                </a:extLst>
              </xdr:cNvPr>
              <xdr:cNvSpPr/>
            </xdr:nvSpPr>
            <xdr:spPr>
              <a:xfrm>
                <a:off x="2549237" y="2464381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4" name="Gruppo 243">
              <a:extLst>
                <a:ext uri="{FF2B5EF4-FFF2-40B4-BE49-F238E27FC236}">
                  <a16:creationId xmlns:a16="http://schemas.microsoft.com/office/drawing/2014/main" id="{4EBEA1F5-544D-8791-42FA-4083F4030A05}"/>
                </a:ext>
              </a:extLst>
            </xdr:cNvPr>
            <xdr:cNvGrpSpPr/>
          </xdr:nvGrpSpPr>
          <xdr:grpSpPr>
            <a:xfrm>
              <a:off x="2834987" y="4119369"/>
              <a:ext cx="2090530" cy="891571"/>
              <a:chOff x="2549237" y="3260698"/>
              <a:chExt cx="2090530" cy="891571"/>
            </a:xfrm>
          </xdr:grpSpPr>
          <xdr:sp macro="" textlink="">
            <xdr:nvSpPr>
              <xdr:cNvPr id="222" name="CasellaDiTesto 221">
                <a:extLst>
                  <a:ext uri="{FF2B5EF4-FFF2-40B4-BE49-F238E27FC236}">
                    <a16:creationId xmlns:a16="http://schemas.microsoft.com/office/drawing/2014/main" id="{6425F171-F2AC-4D0D-956C-E4FC74D492FF}"/>
                  </a:ext>
                </a:extLst>
              </xdr:cNvPr>
              <xdr:cNvSpPr txBox="1"/>
            </xdr:nvSpPr>
            <xdr:spPr>
              <a:xfrm>
                <a:off x="2549237" y="3260698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GIUGNO</a:t>
                </a:r>
                <a:endParaRPr lang="it-IT" sz="4400" b="1"/>
              </a:p>
            </xdr:txBody>
          </xdr:sp>
          <xdr:sp macro="[0]!GIUGNO" textlink="">
            <xdr:nvSpPr>
              <xdr:cNvPr id="223" name="Rettangolo con angoli arrotondati 222">
                <a:extLst>
                  <a:ext uri="{FF2B5EF4-FFF2-40B4-BE49-F238E27FC236}">
                    <a16:creationId xmlns:a16="http://schemas.microsoft.com/office/drawing/2014/main" id="{C4285297-6905-4596-9AAE-F04A7250F3DB}"/>
                  </a:ext>
                </a:extLst>
              </xdr:cNvPr>
              <xdr:cNvSpPr/>
            </xdr:nvSpPr>
            <xdr:spPr>
              <a:xfrm>
                <a:off x="2549237" y="3600454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39" name="Gruppo 238">
              <a:extLst>
                <a:ext uri="{FF2B5EF4-FFF2-40B4-BE49-F238E27FC236}">
                  <a16:creationId xmlns:a16="http://schemas.microsoft.com/office/drawing/2014/main" id="{A14B96A5-7FE3-859B-2D06-43AA7F4B7ACF}"/>
                </a:ext>
              </a:extLst>
            </xdr:cNvPr>
            <xdr:cNvGrpSpPr/>
          </xdr:nvGrpSpPr>
          <xdr:grpSpPr>
            <a:xfrm>
              <a:off x="479714" y="5246310"/>
              <a:ext cx="2090530" cy="891571"/>
              <a:chOff x="193964" y="4308764"/>
              <a:chExt cx="2090530" cy="891571"/>
            </a:xfrm>
          </xdr:grpSpPr>
          <xdr:sp macro="" textlink="">
            <xdr:nvSpPr>
              <xdr:cNvPr id="224" name="CasellaDiTesto 223">
                <a:extLst>
                  <a:ext uri="{FF2B5EF4-FFF2-40B4-BE49-F238E27FC236}">
                    <a16:creationId xmlns:a16="http://schemas.microsoft.com/office/drawing/2014/main" id="{5729BB1B-45AE-4F34-BE9D-56FAFFC7F3D3}"/>
                  </a:ext>
                </a:extLst>
              </xdr:cNvPr>
              <xdr:cNvSpPr txBox="1"/>
            </xdr:nvSpPr>
            <xdr:spPr>
              <a:xfrm>
                <a:off x="193964" y="4308764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LUGLIO</a:t>
                </a:r>
                <a:endParaRPr lang="it-IT" sz="4400" b="1"/>
              </a:p>
            </xdr:txBody>
          </xdr:sp>
          <xdr:sp macro="[0]!LUGLIO" textlink="">
            <xdr:nvSpPr>
              <xdr:cNvPr id="225" name="Rettangolo con angoli arrotondati 224">
                <a:extLst>
                  <a:ext uri="{FF2B5EF4-FFF2-40B4-BE49-F238E27FC236}">
                    <a16:creationId xmlns:a16="http://schemas.microsoft.com/office/drawing/2014/main" id="{9F35CBA8-0AA5-4C4A-B468-32E6B69A4B41}"/>
                  </a:ext>
                </a:extLst>
              </xdr:cNvPr>
              <xdr:cNvSpPr/>
            </xdr:nvSpPr>
            <xdr:spPr>
              <a:xfrm>
                <a:off x="193964" y="4648520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0" name="Gruppo 239">
              <a:extLst>
                <a:ext uri="{FF2B5EF4-FFF2-40B4-BE49-F238E27FC236}">
                  <a16:creationId xmlns:a16="http://schemas.microsoft.com/office/drawing/2014/main" id="{B146B396-7A3E-B2AF-4363-04D8F1473C3B}"/>
                </a:ext>
              </a:extLst>
            </xdr:cNvPr>
            <xdr:cNvGrpSpPr/>
          </xdr:nvGrpSpPr>
          <xdr:grpSpPr>
            <a:xfrm>
              <a:off x="479714" y="6373251"/>
              <a:ext cx="2090530" cy="891571"/>
              <a:chOff x="193964" y="5444837"/>
              <a:chExt cx="2090530" cy="891571"/>
            </a:xfrm>
          </xdr:grpSpPr>
          <xdr:sp macro="" textlink="">
            <xdr:nvSpPr>
              <xdr:cNvPr id="226" name="CasellaDiTesto 225">
                <a:extLst>
                  <a:ext uri="{FF2B5EF4-FFF2-40B4-BE49-F238E27FC236}">
                    <a16:creationId xmlns:a16="http://schemas.microsoft.com/office/drawing/2014/main" id="{ABDFEF45-C5E4-4A49-BC96-502BECFA6592}"/>
                  </a:ext>
                </a:extLst>
              </xdr:cNvPr>
              <xdr:cNvSpPr txBox="1"/>
            </xdr:nvSpPr>
            <xdr:spPr>
              <a:xfrm>
                <a:off x="193964" y="5444837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SETTEMBRE</a:t>
                </a:r>
                <a:endParaRPr lang="it-IT" sz="4400" b="1"/>
              </a:p>
            </xdr:txBody>
          </xdr:sp>
          <xdr:sp macro="[0]!SETTEMBRE" textlink="">
            <xdr:nvSpPr>
              <xdr:cNvPr id="227" name="Rettangolo con angoli arrotondati 226">
                <a:extLst>
                  <a:ext uri="{FF2B5EF4-FFF2-40B4-BE49-F238E27FC236}">
                    <a16:creationId xmlns:a16="http://schemas.microsoft.com/office/drawing/2014/main" id="{BEA6A3A6-C927-448D-BC3F-9A119C4D25B9}"/>
                  </a:ext>
                </a:extLst>
              </xdr:cNvPr>
              <xdr:cNvSpPr/>
            </xdr:nvSpPr>
            <xdr:spPr>
              <a:xfrm>
                <a:off x="193964" y="5784593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5" name="Gruppo 244">
              <a:extLst>
                <a:ext uri="{FF2B5EF4-FFF2-40B4-BE49-F238E27FC236}">
                  <a16:creationId xmlns:a16="http://schemas.microsoft.com/office/drawing/2014/main" id="{386669D4-7111-0DCA-5067-41706C9B09BD}"/>
                </a:ext>
              </a:extLst>
            </xdr:cNvPr>
            <xdr:cNvGrpSpPr/>
          </xdr:nvGrpSpPr>
          <xdr:grpSpPr>
            <a:xfrm>
              <a:off x="2834987" y="5246310"/>
              <a:ext cx="2090530" cy="891571"/>
              <a:chOff x="2549237" y="4341353"/>
              <a:chExt cx="2090530" cy="891571"/>
            </a:xfrm>
          </xdr:grpSpPr>
          <xdr:sp macro="" textlink="">
            <xdr:nvSpPr>
              <xdr:cNvPr id="228" name="CasellaDiTesto 227">
                <a:extLst>
                  <a:ext uri="{FF2B5EF4-FFF2-40B4-BE49-F238E27FC236}">
                    <a16:creationId xmlns:a16="http://schemas.microsoft.com/office/drawing/2014/main" id="{13E5797C-AE5F-4E7E-8783-9C5990DC7833}"/>
                  </a:ext>
                </a:extLst>
              </xdr:cNvPr>
              <xdr:cNvSpPr txBox="1"/>
            </xdr:nvSpPr>
            <xdr:spPr>
              <a:xfrm>
                <a:off x="2549237" y="4341353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AGOSTO</a:t>
                </a:r>
                <a:endParaRPr lang="it-IT" sz="4400" b="1"/>
              </a:p>
            </xdr:txBody>
          </xdr:sp>
          <xdr:sp macro="[0]!AGOSTO" textlink="">
            <xdr:nvSpPr>
              <xdr:cNvPr id="229" name="Rettangolo con angoli arrotondati 228">
                <a:extLst>
                  <a:ext uri="{FF2B5EF4-FFF2-40B4-BE49-F238E27FC236}">
                    <a16:creationId xmlns:a16="http://schemas.microsoft.com/office/drawing/2014/main" id="{6BF722B6-F443-4517-9D29-56C1E23E627C}"/>
                  </a:ext>
                </a:extLst>
              </xdr:cNvPr>
              <xdr:cNvSpPr/>
            </xdr:nvSpPr>
            <xdr:spPr>
              <a:xfrm>
                <a:off x="2549237" y="4681109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6" name="Gruppo 245">
              <a:extLst>
                <a:ext uri="{FF2B5EF4-FFF2-40B4-BE49-F238E27FC236}">
                  <a16:creationId xmlns:a16="http://schemas.microsoft.com/office/drawing/2014/main" id="{04FC0F59-53B8-ED25-9ECC-13D518387D4F}"/>
                </a:ext>
              </a:extLst>
            </xdr:cNvPr>
            <xdr:cNvGrpSpPr/>
          </xdr:nvGrpSpPr>
          <xdr:grpSpPr>
            <a:xfrm>
              <a:off x="2834987" y="6373251"/>
              <a:ext cx="2090530" cy="891571"/>
              <a:chOff x="2549237" y="5477426"/>
              <a:chExt cx="2090530" cy="891571"/>
            </a:xfrm>
          </xdr:grpSpPr>
          <xdr:sp macro="" textlink="">
            <xdr:nvSpPr>
              <xdr:cNvPr id="230" name="CasellaDiTesto 229">
                <a:extLst>
                  <a:ext uri="{FF2B5EF4-FFF2-40B4-BE49-F238E27FC236}">
                    <a16:creationId xmlns:a16="http://schemas.microsoft.com/office/drawing/2014/main" id="{E973AFA6-1140-451D-8745-F60CC10E45C9}"/>
                  </a:ext>
                </a:extLst>
              </xdr:cNvPr>
              <xdr:cNvSpPr txBox="1"/>
            </xdr:nvSpPr>
            <xdr:spPr>
              <a:xfrm>
                <a:off x="2549237" y="5477426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OTTOBRE</a:t>
                </a:r>
                <a:endParaRPr lang="it-IT" sz="4400" b="1"/>
              </a:p>
            </xdr:txBody>
          </xdr:sp>
          <xdr:sp macro="[0]!OTTOBRE" textlink="">
            <xdr:nvSpPr>
              <xdr:cNvPr id="231" name="Rettangolo con angoli arrotondati 230">
                <a:extLst>
                  <a:ext uri="{FF2B5EF4-FFF2-40B4-BE49-F238E27FC236}">
                    <a16:creationId xmlns:a16="http://schemas.microsoft.com/office/drawing/2014/main" id="{D6751562-46D1-47E1-8E43-D2533A77DA5D}"/>
                  </a:ext>
                </a:extLst>
              </xdr:cNvPr>
              <xdr:cNvSpPr/>
            </xdr:nvSpPr>
            <xdr:spPr>
              <a:xfrm>
                <a:off x="2549237" y="5817182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1" name="Gruppo 240">
              <a:extLst>
                <a:ext uri="{FF2B5EF4-FFF2-40B4-BE49-F238E27FC236}">
                  <a16:creationId xmlns:a16="http://schemas.microsoft.com/office/drawing/2014/main" id="{07A318F7-8344-B9E6-9C8E-C06BD0B760A8}"/>
                </a:ext>
              </a:extLst>
            </xdr:cNvPr>
            <xdr:cNvGrpSpPr/>
          </xdr:nvGrpSpPr>
          <xdr:grpSpPr>
            <a:xfrm>
              <a:off x="479714" y="7500192"/>
              <a:ext cx="2090530" cy="891571"/>
              <a:chOff x="193964" y="6553200"/>
              <a:chExt cx="2090530" cy="891571"/>
            </a:xfrm>
          </xdr:grpSpPr>
          <xdr:sp macro="" textlink="">
            <xdr:nvSpPr>
              <xdr:cNvPr id="232" name="CasellaDiTesto 231">
                <a:extLst>
                  <a:ext uri="{FF2B5EF4-FFF2-40B4-BE49-F238E27FC236}">
                    <a16:creationId xmlns:a16="http://schemas.microsoft.com/office/drawing/2014/main" id="{81F71E80-EEB0-4060-932C-0A561E67921C}"/>
                  </a:ext>
                </a:extLst>
              </xdr:cNvPr>
              <xdr:cNvSpPr txBox="1"/>
            </xdr:nvSpPr>
            <xdr:spPr>
              <a:xfrm>
                <a:off x="193964" y="6553200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NOVEMBRE</a:t>
                </a:r>
                <a:endParaRPr lang="it-IT" sz="4400" b="1"/>
              </a:p>
            </xdr:txBody>
          </xdr:sp>
          <xdr:sp macro="[0]!NOVEMBRE" textlink="">
            <xdr:nvSpPr>
              <xdr:cNvPr id="233" name="Rettangolo con angoli arrotondati 232">
                <a:extLst>
                  <a:ext uri="{FF2B5EF4-FFF2-40B4-BE49-F238E27FC236}">
                    <a16:creationId xmlns:a16="http://schemas.microsoft.com/office/drawing/2014/main" id="{AA9C95C3-4D52-4111-A3C7-553A077A46E6}"/>
                  </a:ext>
                </a:extLst>
              </xdr:cNvPr>
              <xdr:cNvSpPr/>
            </xdr:nvSpPr>
            <xdr:spPr>
              <a:xfrm>
                <a:off x="193964" y="6892956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  <xdr:grpSp>
          <xdr:nvGrpSpPr>
            <xdr:cNvPr id="247" name="Gruppo 246">
              <a:extLst>
                <a:ext uri="{FF2B5EF4-FFF2-40B4-BE49-F238E27FC236}">
                  <a16:creationId xmlns:a16="http://schemas.microsoft.com/office/drawing/2014/main" id="{BA1C22F9-16C5-265E-6AE6-02F743331FFA}"/>
                </a:ext>
              </a:extLst>
            </xdr:cNvPr>
            <xdr:cNvGrpSpPr/>
          </xdr:nvGrpSpPr>
          <xdr:grpSpPr>
            <a:xfrm>
              <a:off x="2834987" y="7500192"/>
              <a:ext cx="2090530" cy="891571"/>
              <a:chOff x="2549237" y="6585789"/>
              <a:chExt cx="2090530" cy="891571"/>
            </a:xfrm>
          </xdr:grpSpPr>
          <xdr:sp macro="" textlink="">
            <xdr:nvSpPr>
              <xdr:cNvPr id="234" name="CasellaDiTesto 233">
                <a:extLst>
                  <a:ext uri="{FF2B5EF4-FFF2-40B4-BE49-F238E27FC236}">
                    <a16:creationId xmlns:a16="http://schemas.microsoft.com/office/drawing/2014/main" id="{3B8A566B-853A-40EE-8772-6B4B1F9F0377}"/>
                  </a:ext>
                </a:extLst>
              </xdr:cNvPr>
              <xdr:cNvSpPr txBox="1"/>
            </xdr:nvSpPr>
            <xdr:spPr>
              <a:xfrm>
                <a:off x="2549237" y="6585789"/>
                <a:ext cx="1945774" cy="33738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it-IT" sz="2800" b="1"/>
                  <a:t>DICEMBRE</a:t>
                </a:r>
                <a:endParaRPr lang="it-IT" sz="4400" b="1"/>
              </a:p>
            </xdr:txBody>
          </xdr:sp>
          <xdr:sp macro="[0]!DICEMBRE" textlink="">
            <xdr:nvSpPr>
              <xdr:cNvPr id="235" name="Rettangolo con angoli arrotondati 234">
                <a:extLst>
                  <a:ext uri="{FF2B5EF4-FFF2-40B4-BE49-F238E27FC236}">
                    <a16:creationId xmlns:a16="http://schemas.microsoft.com/office/drawing/2014/main" id="{5C6D84B1-CCA3-4055-9EA6-C0D5E2D7EF9D}"/>
                  </a:ext>
                </a:extLst>
              </xdr:cNvPr>
              <xdr:cNvSpPr/>
            </xdr:nvSpPr>
            <xdr:spPr>
              <a:xfrm>
                <a:off x="2549237" y="6925545"/>
                <a:ext cx="2090530" cy="551815"/>
              </a:xfrm>
              <a:prstGeom prst="roundRect">
                <a:avLst/>
              </a:prstGeom>
              <a:solidFill>
                <a:schemeClr val="tx1">
                  <a:lumMod val="65000"/>
                  <a:lumOff val="3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1100"/>
              </a:p>
            </xdr:txBody>
          </xdr:sp>
        </xdr:grpSp>
      </xdr:grpSp>
      <xdr:sp macro="" textlink="">
        <xdr:nvSpPr>
          <xdr:cNvPr id="248" name="CasellaDiTesto 247">
            <a:extLst>
              <a:ext uri="{FF2B5EF4-FFF2-40B4-BE49-F238E27FC236}">
                <a16:creationId xmlns:a16="http://schemas.microsoft.com/office/drawing/2014/main" id="{BFC4670C-9D53-499C-ABA1-1052D30D90CB}"/>
              </a:ext>
            </a:extLst>
          </xdr:cNvPr>
          <xdr:cNvSpPr txBox="1"/>
        </xdr:nvSpPr>
        <xdr:spPr>
          <a:xfrm>
            <a:off x="387927" y="969818"/>
            <a:ext cx="4585855" cy="8584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4000" b="1"/>
              <a:t>SELEZIONA</a:t>
            </a:r>
            <a:r>
              <a:rPr lang="it-IT" sz="4000" b="1" baseline="0"/>
              <a:t> IL MESE</a:t>
            </a:r>
            <a:endParaRPr lang="it-IT" sz="4000" b="1"/>
          </a:p>
        </xdr:txBody>
      </xdr:sp>
    </xdr:grpSp>
    <xdr:clientData/>
  </xdr:twoCellAnchor>
  <xdr:twoCellAnchor>
    <xdr:from>
      <xdr:col>0</xdr:col>
      <xdr:colOff>166255</xdr:colOff>
      <xdr:row>4</xdr:row>
      <xdr:rowOff>138546</xdr:rowOff>
    </xdr:from>
    <xdr:to>
      <xdr:col>8</xdr:col>
      <xdr:colOff>512618</xdr:colOff>
      <xdr:row>51</xdr:row>
      <xdr:rowOff>96981</xdr:rowOff>
    </xdr:to>
    <xdr:sp macro="" textlink="">
      <xdr:nvSpPr>
        <xdr:cNvPr id="251" name="Rettangolo con angoli arrotondati 250">
          <a:extLst>
            <a:ext uri="{FF2B5EF4-FFF2-40B4-BE49-F238E27FC236}">
              <a16:creationId xmlns:a16="http://schemas.microsoft.com/office/drawing/2014/main" id="{89F22EC1-87A5-0C45-4FA0-D21CAB3A294F}"/>
            </a:ext>
          </a:extLst>
        </xdr:cNvPr>
        <xdr:cNvSpPr/>
      </xdr:nvSpPr>
      <xdr:spPr>
        <a:xfrm>
          <a:off x="166255" y="858982"/>
          <a:ext cx="5223163" cy="8423563"/>
        </a:xfrm>
        <a:prstGeom prst="roundRect">
          <a:avLst>
            <a:gd name="adj" fmla="val 7449"/>
          </a:avLst>
        </a:prstGeom>
        <a:noFill/>
        <a:ln w="57150">
          <a:solidFill>
            <a:schemeClr val="tx1">
              <a:lumMod val="65000"/>
              <a:lumOff val="35000"/>
            </a:schemeClr>
          </a:solidFill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12</xdr:col>
      <xdr:colOff>432954</xdr:colOff>
      <xdr:row>6</xdr:row>
      <xdr:rowOff>155530</xdr:rowOff>
    </xdr:from>
    <xdr:to>
      <xdr:col>23</xdr:col>
      <xdr:colOff>114300</xdr:colOff>
      <xdr:row>11</xdr:row>
      <xdr:rowOff>111712</xdr:rowOff>
    </xdr:to>
    <xdr:sp macro="" textlink="$B$1">
      <xdr:nvSpPr>
        <xdr:cNvPr id="46" name="CasellaDiTesto 45">
          <a:extLst>
            <a:ext uri="{FF2B5EF4-FFF2-40B4-BE49-F238E27FC236}">
              <a16:creationId xmlns:a16="http://schemas.microsoft.com/office/drawing/2014/main" id="{93C7A9B8-58ED-D6B3-3973-F93170244429}"/>
            </a:ext>
          </a:extLst>
        </xdr:cNvPr>
        <xdr:cNvSpPr txBox="1"/>
      </xdr:nvSpPr>
      <xdr:spPr>
        <a:xfrm>
          <a:off x="7748154" y="1298530"/>
          <a:ext cx="6386946" cy="908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8A1EC2-464B-4758-8B10-88914144542B}" type="TxLink">
            <a:rPr lang="en-US" sz="6000" b="1" i="0" u="none" strike="noStrike">
              <a:solidFill>
                <a:srgbClr val="000000"/>
              </a:solidFill>
              <a:latin typeface="+mn-lt"/>
              <a:cs typeface="Calibri"/>
            </a:rPr>
            <a:pPr algn="ctr"/>
            <a:t>OTTOBRE</a:t>
          </a:fld>
          <a:endParaRPr lang="it-IT" sz="6000" b="1">
            <a:latin typeface="+mn-lt"/>
          </a:endParaRPr>
        </a:p>
      </xdr:txBody>
    </xdr:sp>
    <xdr:clientData/>
  </xdr:twoCellAnchor>
  <xdr:twoCellAnchor>
    <xdr:from>
      <xdr:col>10</xdr:col>
      <xdr:colOff>13593</xdr:colOff>
      <xdr:row>13</xdr:row>
      <xdr:rowOff>28831</xdr:rowOff>
    </xdr:from>
    <xdr:to>
      <xdr:col>14</xdr:col>
      <xdr:colOff>553436</xdr:colOff>
      <xdr:row>22</xdr:row>
      <xdr:rowOff>73273</xdr:rowOff>
    </xdr:to>
    <xdr:grpSp>
      <xdr:nvGrpSpPr>
        <xdr:cNvPr id="123" name="Gruppo 122">
          <a:extLst>
            <a:ext uri="{FF2B5EF4-FFF2-40B4-BE49-F238E27FC236}">
              <a16:creationId xmlns:a16="http://schemas.microsoft.com/office/drawing/2014/main" id="{D4DE8663-75C5-91A9-B857-E6D6DC540596}"/>
            </a:ext>
          </a:extLst>
        </xdr:cNvPr>
        <xdr:cNvGrpSpPr/>
      </xdr:nvGrpSpPr>
      <xdr:grpSpPr>
        <a:xfrm>
          <a:off x="6109593" y="2450298"/>
          <a:ext cx="2978243" cy="1720842"/>
          <a:chOff x="6109593" y="2371002"/>
          <a:chExt cx="2978243" cy="1663604"/>
        </a:xfrm>
      </xdr:grpSpPr>
      <xdr:sp macro="" textlink="">
        <xdr:nvSpPr>
          <xdr:cNvPr id="23" name="Rettangolo con angoli arrotondati 22">
            <a:extLst>
              <a:ext uri="{FF2B5EF4-FFF2-40B4-BE49-F238E27FC236}">
                <a16:creationId xmlns:a16="http://schemas.microsoft.com/office/drawing/2014/main" id="{B4EC0E4E-02BA-D424-1642-BE44FB1725B2}"/>
              </a:ext>
            </a:extLst>
          </xdr:cNvPr>
          <xdr:cNvSpPr/>
        </xdr:nvSpPr>
        <xdr:spPr>
          <a:xfrm>
            <a:off x="6109593" y="2371002"/>
            <a:ext cx="2978243" cy="1663604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122" name="Gruppo 121">
            <a:extLst>
              <a:ext uri="{FF2B5EF4-FFF2-40B4-BE49-F238E27FC236}">
                <a16:creationId xmlns:a16="http://schemas.microsoft.com/office/drawing/2014/main" id="{F120902A-884E-AD06-529C-BC0021EE7748}"/>
              </a:ext>
            </a:extLst>
          </xdr:cNvPr>
          <xdr:cNvGrpSpPr/>
        </xdr:nvGrpSpPr>
        <xdr:grpSpPr>
          <a:xfrm>
            <a:off x="6384066" y="2492867"/>
            <a:ext cx="2354749" cy="813877"/>
            <a:chOff x="6384066" y="2492867"/>
            <a:chExt cx="2354749" cy="813877"/>
          </a:xfrm>
        </xdr:grpSpPr>
        <xdr:sp macro="" textlink="">
          <xdr:nvSpPr>
            <xdr:cNvPr id="33" name="CasellaDiTesto 32">
              <a:extLst>
                <a:ext uri="{FF2B5EF4-FFF2-40B4-BE49-F238E27FC236}">
                  <a16:creationId xmlns:a16="http://schemas.microsoft.com/office/drawing/2014/main" id="{0019F60D-99EF-A393-CF3A-09B52005F299}"/>
                </a:ext>
              </a:extLst>
            </xdr:cNvPr>
            <xdr:cNvSpPr txBox="1"/>
          </xdr:nvSpPr>
          <xdr:spPr>
            <a:xfrm>
              <a:off x="6384068" y="2492867"/>
              <a:ext cx="2354747" cy="4099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6">
                      <a:lumMod val="75000"/>
                    </a:schemeClr>
                  </a:solidFill>
                </a:rPr>
                <a:t>ENTRATE</a:t>
              </a:r>
            </a:p>
          </xdr:txBody>
        </xdr:sp>
        <xdr:sp macro="" textlink="CALCOLI!P21">
          <xdr:nvSpPr>
            <xdr:cNvPr id="34" name="CasellaDiTesto 33">
              <a:extLst>
                <a:ext uri="{FF2B5EF4-FFF2-40B4-BE49-F238E27FC236}">
                  <a16:creationId xmlns:a16="http://schemas.microsoft.com/office/drawing/2014/main" id="{3888B0CF-DC70-CE7A-CE02-4B7A394B169C}"/>
                </a:ext>
              </a:extLst>
            </xdr:cNvPr>
            <xdr:cNvSpPr txBox="1"/>
          </xdr:nvSpPr>
          <xdr:spPr>
            <a:xfrm>
              <a:off x="6384066" y="2891061"/>
              <a:ext cx="2354746" cy="41568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09F5F5A-09B1-45F8-9E07-1C34C0097A2C}" type="TxLink">
                <a:rPr lang="en-US" sz="3600" b="1" i="0" u="none" strike="noStrike">
                  <a:solidFill>
                    <a:schemeClr val="accent6">
                      <a:lumMod val="75000"/>
                    </a:schemeClr>
                  </a:solidFill>
                  <a:latin typeface="Aptos Narrow"/>
                </a:rPr>
                <a:pPr algn="ctr"/>
                <a:t>1.664,30 €</a:t>
              </a:fld>
              <a:endParaRPr lang="it-IT" sz="3600" b="1" u="none">
                <a:solidFill>
                  <a:schemeClr val="accent6">
                    <a:lumMod val="75000"/>
                  </a:schemeClr>
                </a:solidFill>
              </a:endParaRPr>
            </a:p>
          </xdr:txBody>
        </xdr:sp>
      </xdr:grpSp>
      <xdr:grpSp>
        <xdr:nvGrpSpPr>
          <xdr:cNvPr id="26" name="Gruppo 25">
            <a:extLst>
              <a:ext uri="{FF2B5EF4-FFF2-40B4-BE49-F238E27FC236}">
                <a16:creationId xmlns:a16="http://schemas.microsoft.com/office/drawing/2014/main" id="{4B9DE4E0-5D79-393C-3D4F-01ED152E294D}"/>
              </a:ext>
            </a:extLst>
          </xdr:cNvPr>
          <xdr:cNvGrpSpPr/>
        </xdr:nvGrpSpPr>
        <xdr:grpSpPr>
          <a:xfrm>
            <a:off x="6323095" y="3326293"/>
            <a:ext cx="2551242" cy="589206"/>
            <a:chOff x="7091266" y="1757865"/>
            <a:chExt cx="2518283" cy="583470"/>
          </a:xfrm>
        </xdr:grpSpPr>
        <xdr:grpSp>
          <xdr:nvGrpSpPr>
            <xdr:cNvPr id="27" name="Gruppo 26">
              <a:extLst>
                <a:ext uri="{FF2B5EF4-FFF2-40B4-BE49-F238E27FC236}">
                  <a16:creationId xmlns:a16="http://schemas.microsoft.com/office/drawing/2014/main" id="{06C314A6-1012-1B95-7E2B-A4CB96B5AD8F}"/>
                </a:ext>
              </a:extLst>
            </xdr:cNvPr>
            <xdr:cNvGrpSpPr/>
          </xdr:nvGrpSpPr>
          <xdr:grpSpPr>
            <a:xfrm>
              <a:off x="7091266" y="1757865"/>
              <a:ext cx="1185959" cy="583470"/>
              <a:chOff x="7091266" y="1769206"/>
              <a:chExt cx="1185959" cy="583470"/>
            </a:xfrm>
          </xdr:grpSpPr>
          <xdr:sp macro="" textlink="">
            <xdr:nvSpPr>
              <xdr:cNvPr id="31" name="CasellaDiTesto 30">
                <a:extLst>
                  <a:ext uri="{FF2B5EF4-FFF2-40B4-BE49-F238E27FC236}">
                    <a16:creationId xmlns:a16="http://schemas.microsoft.com/office/drawing/2014/main" id="{16A6B330-531A-B38C-0152-52D2BF82F5A1}"/>
                  </a:ext>
                </a:extLst>
              </xdr:cNvPr>
              <xdr:cNvSpPr txBox="1"/>
            </xdr:nvSpPr>
            <xdr:spPr>
              <a:xfrm>
                <a:off x="7234141" y="1769206"/>
                <a:ext cx="900209" cy="3453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/>
                  <a:t>STIPENDIO</a:t>
                </a:r>
              </a:p>
            </xdr:txBody>
          </xdr:sp>
          <xdr:sp macro="" textlink="CALCOLI!M21">
            <xdr:nvSpPr>
              <xdr:cNvPr id="32" name="CasellaDiTesto 31">
                <a:extLst>
                  <a:ext uri="{FF2B5EF4-FFF2-40B4-BE49-F238E27FC236}">
                    <a16:creationId xmlns:a16="http://schemas.microsoft.com/office/drawing/2014/main" id="{B7DF43AF-A645-177B-D916-A74B7E18C849}"/>
                  </a:ext>
                </a:extLst>
              </xdr:cNvPr>
              <xdr:cNvSpPr txBox="1"/>
            </xdr:nvSpPr>
            <xdr:spPr>
              <a:xfrm>
                <a:off x="7091266" y="2037047"/>
                <a:ext cx="1185959" cy="315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53EBD52-0EEB-4A78-AB73-D20FBEAB056D}" type="TxLink">
                  <a:rPr lang="en-US" sz="2000" b="1" i="0" u="none" strike="noStrike">
                    <a:solidFill>
                      <a:srgbClr val="000000"/>
                    </a:solidFill>
                    <a:latin typeface="Aptos Narrow"/>
                  </a:rPr>
                  <a:pPr algn="ctr"/>
                  <a:t>1.664,30 €</a:t>
                </a:fld>
                <a:endParaRPr lang="it-IT" sz="2000" b="1" u="none"/>
              </a:p>
            </xdr:txBody>
          </xdr:sp>
        </xdr:grpSp>
        <xdr:grpSp>
          <xdr:nvGrpSpPr>
            <xdr:cNvPr id="28" name="Gruppo 27">
              <a:extLst>
                <a:ext uri="{FF2B5EF4-FFF2-40B4-BE49-F238E27FC236}">
                  <a16:creationId xmlns:a16="http://schemas.microsoft.com/office/drawing/2014/main" id="{41FFC284-BE36-8F44-DF21-CB3870D45168}"/>
                </a:ext>
              </a:extLst>
            </xdr:cNvPr>
            <xdr:cNvGrpSpPr/>
          </xdr:nvGrpSpPr>
          <xdr:grpSpPr>
            <a:xfrm>
              <a:off x="8423590" y="1757865"/>
              <a:ext cx="1185959" cy="583470"/>
              <a:chOff x="8423590" y="1746524"/>
              <a:chExt cx="1185959" cy="583470"/>
            </a:xfrm>
          </xdr:grpSpPr>
          <xdr:sp macro="" textlink="">
            <xdr:nvSpPr>
              <xdr:cNvPr id="29" name="CasellaDiTesto 28">
                <a:extLst>
                  <a:ext uri="{FF2B5EF4-FFF2-40B4-BE49-F238E27FC236}">
                    <a16:creationId xmlns:a16="http://schemas.microsoft.com/office/drawing/2014/main" id="{34398E68-62FB-96FF-4724-E107D6928009}"/>
                  </a:ext>
                </a:extLst>
              </xdr:cNvPr>
              <xdr:cNvSpPr txBox="1"/>
            </xdr:nvSpPr>
            <xdr:spPr>
              <a:xfrm>
                <a:off x="8566465" y="1746524"/>
                <a:ext cx="900209" cy="34534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/>
                  <a:t>ALTRO</a:t>
                </a:r>
              </a:p>
            </xdr:txBody>
          </xdr:sp>
          <xdr:sp macro="" textlink="CALCOLI!N21">
            <xdr:nvSpPr>
              <xdr:cNvPr id="30" name="CasellaDiTesto 29">
                <a:extLst>
                  <a:ext uri="{FF2B5EF4-FFF2-40B4-BE49-F238E27FC236}">
                    <a16:creationId xmlns:a16="http://schemas.microsoft.com/office/drawing/2014/main" id="{85FEB2EC-2129-3DC8-4E0A-BDE17F99CA2E}"/>
                  </a:ext>
                </a:extLst>
              </xdr:cNvPr>
              <xdr:cNvSpPr txBox="1"/>
            </xdr:nvSpPr>
            <xdr:spPr>
              <a:xfrm>
                <a:off x="8423590" y="2014365"/>
                <a:ext cx="1185959" cy="31562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958FD7C4-9829-4824-B5EA-D522F1DE9D53}" type="TxLink">
                  <a:rPr lang="en-US" sz="2000" b="1" i="0" u="none" strike="noStrike">
                    <a:solidFill>
                      <a:srgbClr val="000000"/>
                    </a:solidFill>
                    <a:latin typeface="Aptos Narrow"/>
                  </a:rPr>
                  <a:pPr algn="ctr"/>
                  <a:t>0,00 €</a:t>
                </a:fld>
                <a:endParaRPr lang="it-IT" sz="2000" b="1" u="none"/>
              </a:p>
            </xdr:txBody>
          </xdr:sp>
        </xdr:grpSp>
      </xdr:grpSp>
    </xdr:grpSp>
    <xdr:clientData/>
  </xdr:twoCellAnchor>
  <xdr:twoCellAnchor>
    <xdr:from>
      <xdr:col>10</xdr:col>
      <xdr:colOff>13593</xdr:colOff>
      <xdr:row>23</xdr:row>
      <xdr:rowOff>186699</xdr:rowOff>
    </xdr:from>
    <xdr:to>
      <xdr:col>14</xdr:col>
      <xdr:colOff>553436</xdr:colOff>
      <xdr:row>33</xdr:row>
      <xdr:rowOff>24120</xdr:rowOff>
    </xdr:to>
    <xdr:grpSp>
      <xdr:nvGrpSpPr>
        <xdr:cNvPr id="73" name="Gruppo 72">
          <a:extLst>
            <a:ext uri="{FF2B5EF4-FFF2-40B4-BE49-F238E27FC236}">
              <a16:creationId xmlns:a16="http://schemas.microsoft.com/office/drawing/2014/main" id="{74490CA8-D2F5-3A9B-C514-2E945370D3BA}"/>
            </a:ext>
          </a:extLst>
        </xdr:cNvPr>
        <xdr:cNvGrpSpPr/>
      </xdr:nvGrpSpPr>
      <xdr:grpSpPr>
        <a:xfrm>
          <a:off x="6109593" y="4463212"/>
          <a:ext cx="2978243" cy="1707708"/>
          <a:chOff x="5572992" y="5048497"/>
          <a:chExt cx="2978243" cy="1700273"/>
        </a:xfrm>
      </xdr:grpSpPr>
      <xdr:sp macro="" textlink="">
        <xdr:nvSpPr>
          <xdr:cNvPr id="47" name="Rettangolo con angoli arrotondati 46">
            <a:extLst>
              <a:ext uri="{FF2B5EF4-FFF2-40B4-BE49-F238E27FC236}">
                <a16:creationId xmlns:a16="http://schemas.microsoft.com/office/drawing/2014/main" id="{846204F5-D3DF-D7C7-CBDD-F93C7708DAFC}"/>
              </a:ext>
            </a:extLst>
          </xdr:cNvPr>
          <xdr:cNvSpPr/>
        </xdr:nvSpPr>
        <xdr:spPr>
          <a:xfrm>
            <a:off x="5572992" y="5048497"/>
            <a:ext cx="2978243" cy="1700273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49" name="Gruppo 48">
            <a:extLst>
              <a:ext uri="{FF2B5EF4-FFF2-40B4-BE49-F238E27FC236}">
                <a16:creationId xmlns:a16="http://schemas.microsoft.com/office/drawing/2014/main" id="{30D28332-950E-54D8-A0C3-FB31A4C654FF}"/>
              </a:ext>
            </a:extLst>
          </xdr:cNvPr>
          <xdr:cNvGrpSpPr/>
        </xdr:nvGrpSpPr>
        <xdr:grpSpPr>
          <a:xfrm>
            <a:off x="5847465" y="5166715"/>
            <a:ext cx="2354749" cy="837551"/>
            <a:chOff x="7204939" y="3073252"/>
            <a:chExt cx="2327034" cy="817982"/>
          </a:xfrm>
          <a:noFill/>
        </xdr:grpSpPr>
        <xdr:sp macro="" textlink="">
          <xdr:nvSpPr>
            <xdr:cNvPr id="57" name="CasellaDiTesto 56">
              <a:extLst>
                <a:ext uri="{FF2B5EF4-FFF2-40B4-BE49-F238E27FC236}">
                  <a16:creationId xmlns:a16="http://schemas.microsoft.com/office/drawing/2014/main" id="{7D7E412C-4114-4E32-33CF-D2F72C0C7C4D}"/>
                </a:ext>
              </a:extLst>
            </xdr:cNvPr>
            <xdr:cNvSpPr txBox="1"/>
          </xdr:nvSpPr>
          <xdr:spPr>
            <a:xfrm>
              <a:off x="7204941" y="3073252"/>
              <a:ext cx="2327032" cy="4120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2">
                      <a:lumMod val="75000"/>
                    </a:schemeClr>
                  </a:solidFill>
                </a:rPr>
                <a:t>GIACENZA</a:t>
              </a:r>
            </a:p>
          </xdr:txBody>
        </xdr:sp>
        <xdr:sp macro="" textlink="CALCOLI!R26">
          <xdr:nvSpPr>
            <xdr:cNvPr id="58" name="CasellaDiTesto 57">
              <a:extLst>
                <a:ext uri="{FF2B5EF4-FFF2-40B4-BE49-F238E27FC236}">
                  <a16:creationId xmlns:a16="http://schemas.microsoft.com/office/drawing/2014/main" id="{543B30E5-14A8-D117-577A-F19CF3DF73F5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E853A9-EA7D-4A86-A7D8-9C333CD0A943}" type="TxLink">
                <a:rPr lang="en-US" sz="3600" b="1" i="0" u="none" strike="noStrike">
                  <a:solidFill>
                    <a:schemeClr val="accent2">
                      <a:lumMod val="75000"/>
                    </a:schemeClr>
                  </a:solidFill>
                  <a:latin typeface="+mn-lt"/>
                  <a:cs typeface="Calibri"/>
                </a:rPr>
                <a:pPr algn="ctr"/>
                <a:t>426,83 €</a:t>
              </a:fld>
              <a:endParaRPr lang="it-IT" sz="3600" b="1" u="none">
                <a:solidFill>
                  <a:schemeClr val="accent2">
                    <a:lumMod val="75000"/>
                  </a:schemeClr>
                </a:solidFill>
                <a:latin typeface="+mn-lt"/>
              </a:endParaRPr>
            </a:p>
          </xdr:txBody>
        </xdr:sp>
      </xdr:grpSp>
      <xdr:grpSp>
        <xdr:nvGrpSpPr>
          <xdr:cNvPr id="59" name="Gruppo 58">
            <a:extLst>
              <a:ext uri="{FF2B5EF4-FFF2-40B4-BE49-F238E27FC236}">
                <a16:creationId xmlns:a16="http://schemas.microsoft.com/office/drawing/2014/main" id="{4CAFC81A-E310-2CCF-FB85-73AD09BA4180}"/>
              </a:ext>
            </a:extLst>
          </xdr:cNvPr>
          <xdr:cNvGrpSpPr/>
        </xdr:nvGrpSpPr>
        <xdr:grpSpPr>
          <a:xfrm>
            <a:off x="6248513" y="6023230"/>
            <a:ext cx="1552653" cy="600392"/>
            <a:chOff x="5786496" y="6038375"/>
            <a:chExt cx="1552653" cy="601812"/>
          </a:xfrm>
          <a:noFill/>
        </xdr:grpSpPr>
        <xdr:sp macro="" textlink="">
          <xdr:nvSpPr>
            <xdr:cNvPr id="55" name="CasellaDiTesto 54">
              <a:extLst>
                <a:ext uri="{FF2B5EF4-FFF2-40B4-BE49-F238E27FC236}">
                  <a16:creationId xmlns:a16="http://schemas.microsoft.com/office/drawing/2014/main" id="{335CA50B-FE2A-1CD6-8E06-D58370F043E8}"/>
                </a:ext>
              </a:extLst>
            </xdr:cNvPr>
            <xdr:cNvSpPr txBox="1"/>
          </xdr:nvSpPr>
          <xdr:spPr>
            <a:xfrm>
              <a:off x="5931241" y="6038375"/>
              <a:ext cx="1178550" cy="3562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/>
                <a:t>DISPONIBILITÀ</a:t>
              </a:r>
            </a:p>
          </xdr:txBody>
        </xdr:sp>
        <xdr:sp macro="" textlink="CALCOLI!R28">
          <xdr:nvSpPr>
            <xdr:cNvPr id="56" name="CasellaDiTesto 55">
              <a:extLst>
                <a:ext uri="{FF2B5EF4-FFF2-40B4-BE49-F238E27FC236}">
                  <a16:creationId xmlns:a16="http://schemas.microsoft.com/office/drawing/2014/main" id="{B1F5B7FD-5977-AB62-708F-18AA3334A20F}"/>
                </a:ext>
              </a:extLst>
            </xdr:cNvPr>
            <xdr:cNvSpPr txBox="1"/>
          </xdr:nvSpPr>
          <xdr:spPr>
            <a:xfrm>
              <a:off x="5786496" y="6314636"/>
              <a:ext cx="1552653" cy="3255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46FFF74C-64F5-46F0-928D-D39F674B5499}" type="TxLink">
                <a:rPr lang="en-US" sz="2000" b="1" i="0" u="none" strike="noStrike">
                  <a:solidFill>
                    <a:srgbClr val="000000"/>
                  </a:solidFill>
                  <a:latin typeface="+mn-lt"/>
                  <a:cs typeface="Calibri"/>
                </a:rPr>
                <a:pPr algn="ctr"/>
                <a:t>526,83 €</a:t>
              </a:fld>
              <a:endParaRPr lang="it-IT" sz="2000" b="1" u="none">
                <a:latin typeface="+mn-lt"/>
              </a:endParaRPr>
            </a:p>
          </xdr:txBody>
        </xdr:sp>
      </xdr:grpSp>
    </xdr:grpSp>
    <xdr:clientData/>
  </xdr:twoCellAnchor>
  <xdr:twoCellAnchor>
    <xdr:from>
      <xdr:col>21</xdr:col>
      <xdr:colOff>29678</xdr:colOff>
      <xdr:row>13</xdr:row>
      <xdr:rowOff>28831</xdr:rowOff>
    </xdr:from>
    <xdr:to>
      <xdr:col>25</xdr:col>
      <xdr:colOff>533662</xdr:colOff>
      <xdr:row>22</xdr:row>
      <xdr:rowOff>34072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465B10E-D5E8-4424-8EE6-D9C0E6C3240C}"/>
            </a:ext>
          </a:extLst>
        </xdr:cNvPr>
        <xdr:cNvGrpSpPr/>
      </xdr:nvGrpSpPr>
      <xdr:grpSpPr>
        <a:xfrm>
          <a:off x="12831278" y="2450298"/>
          <a:ext cx="2942384" cy="1681641"/>
          <a:chOff x="6972284" y="4881345"/>
          <a:chExt cx="2945586" cy="1695117"/>
        </a:xfrm>
      </xdr:grpSpPr>
      <xdr:sp macro="" textlink="">
        <xdr:nvSpPr>
          <xdr:cNvPr id="36" name="Rettangolo con angoli arrotondati 35">
            <a:extLst>
              <a:ext uri="{FF2B5EF4-FFF2-40B4-BE49-F238E27FC236}">
                <a16:creationId xmlns:a16="http://schemas.microsoft.com/office/drawing/2014/main" id="{15AE47C0-DCBB-B538-1A94-7E3266246BEF}"/>
              </a:ext>
            </a:extLst>
          </xdr:cNvPr>
          <xdr:cNvSpPr/>
        </xdr:nvSpPr>
        <xdr:spPr>
          <a:xfrm>
            <a:off x="6972284" y="4881345"/>
            <a:ext cx="2945586" cy="1695117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37" name="Gruppo 36">
            <a:extLst>
              <a:ext uri="{FF2B5EF4-FFF2-40B4-BE49-F238E27FC236}">
                <a16:creationId xmlns:a16="http://schemas.microsoft.com/office/drawing/2014/main" id="{D78CAF59-E654-A61F-8244-1EF1553C19BD}"/>
              </a:ext>
            </a:extLst>
          </xdr:cNvPr>
          <xdr:cNvGrpSpPr/>
        </xdr:nvGrpSpPr>
        <xdr:grpSpPr>
          <a:xfrm>
            <a:off x="7234384" y="4972932"/>
            <a:ext cx="2329896" cy="833201"/>
            <a:chOff x="7204939" y="3073252"/>
            <a:chExt cx="2327031" cy="817982"/>
          </a:xfrm>
        </xdr:grpSpPr>
        <xdr:sp macro="" textlink="">
          <xdr:nvSpPr>
            <xdr:cNvPr id="43" name="CasellaDiTesto 42">
              <a:extLst>
                <a:ext uri="{FF2B5EF4-FFF2-40B4-BE49-F238E27FC236}">
                  <a16:creationId xmlns:a16="http://schemas.microsoft.com/office/drawing/2014/main" id="{BCF1AF87-DC28-B7AC-46F9-EB797C6315B2}"/>
                </a:ext>
              </a:extLst>
            </xdr:cNvPr>
            <xdr:cNvSpPr txBox="1"/>
          </xdr:nvSpPr>
          <xdr:spPr>
            <a:xfrm>
              <a:off x="7204939" y="3073252"/>
              <a:ext cx="2327031" cy="41201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1"/>
                  </a:solidFill>
                </a:rPr>
                <a:t>RISPARMI</a:t>
              </a:r>
            </a:p>
          </xdr:txBody>
        </xdr:sp>
        <xdr:sp macro="" textlink="CALCOLI!M27">
          <xdr:nvSpPr>
            <xdr:cNvPr id="44" name="CasellaDiTesto 43">
              <a:extLst>
                <a:ext uri="{FF2B5EF4-FFF2-40B4-BE49-F238E27FC236}">
                  <a16:creationId xmlns:a16="http://schemas.microsoft.com/office/drawing/2014/main" id="{8189E79E-50FD-AE1A-141A-8C64F1252E96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5D58DCE-6135-4D2D-86D4-2496ABD87300}" type="TxLink">
                <a:rPr lang="en-US" sz="3600" b="1" i="0" u="none" strike="noStrike">
                  <a:solidFill>
                    <a:schemeClr val="accent1"/>
                  </a:solidFill>
                  <a:latin typeface="Calibri"/>
                  <a:cs typeface="Calibri"/>
                </a:rPr>
                <a:pPr algn="ctr"/>
                <a:t>100,00 €</a:t>
              </a:fld>
              <a:endParaRPr lang="it-IT" sz="3600" b="1" u="none">
                <a:solidFill>
                  <a:schemeClr val="accent1"/>
                </a:solidFill>
              </a:endParaRPr>
            </a:p>
          </xdr:txBody>
        </xdr:sp>
      </xdr:grpSp>
    </xdr:grpSp>
    <xdr:clientData/>
  </xdr:twoCellAnchor>
  <xdr:twoCellAnchor>
    <xdr:from>
      <xdr:col>15</xdr:col>
      <xdr:colOff>290577</xdr:colOff>
      <xdr:row>23</xdr:row>
      <xdr:rowOff>181162</xdr:rowOff>
    </xdr:from>
    <xdr:to>
      <xdr:col>20</xdr:col>
      <xdr:colOff>220820</xdr:colOff>
      <xdr:row>33</xdr:row>
      <xdr:rowOff>24120</xdr:rowOff>
    </xdr:to>
    <xdr:grpSp>
      <xdr:nvGrpSpPr>
        <xdr:cNvPr id="60" name="Gruppo 59">
          <a:extLst>
            <a:ext uri="{FF2B5EF4-FFF2-40B4-BE49-F238E27FC236}">
              <a16:creationId xmlns:a16="http://schemas.microsoft.com/office/drawing/2014/main" id="{91FD34C6-EEA0-41DC-94CD-93BB5F01A33A}"/>
            </a:ext>
          </a:extLst>
        </xdr:cNvPr>
        <xdr:cNvGrpSpPr/>
      </xdr:nvGrpSpPr>
      <xdr:grpSpPr>
        <a:xfrm>
          <a:off x="9434577" y="4465295"/>
          <a:ext cx="2978243" cy="1705625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61" name="Rettangolo con angoli arrotondati 60">
            <a:extLst>
              <a:ext uri="{FF2B5EF4-FFF2-40B4-BE49-F238E27FC236}">
                <a16:creationId xmlns:a16="http://schemas.microsoft.com/office/drawing/2014/main" id="{F3629C2D-1722-AF45-04E4-6BD24DFFAC83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62" name="Gruppo 61">
            <a:extLst>
              <a:ext uri="{FF2B5EF4-FFF2-40B4-BE49-F238E27FC236}">
                <a16:creationId xmlns:a16="http://schemas.microsoft.com/office/drawing/2014/main" id="{3CA14D70-DEDE-9EA9-6B4A-2DB58CFBCC9E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63" name="Gruppo 62">
              <a:extLst>
                <a:ext uri="{FF2B5EF4-FFF2-40B4-BE49-F238E27FC236}">
                  <a16:creationId xmlns:a16="http://schemas.microsoft.com/office/drawing/2014/main" id="{3DE4216E-4CFB-7FA2-BC8F-5AD162F8A264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71" name="CasellaDiTesto 70">
                <a:extLst>
                  <a:ext uri="{FF2B5EF4-FFF2-40B4-BE49-F238E27FC236}">
                    <a16:creationId xmlns:a16="http://schemas.microsoft.com/office/drawing/2014/main" id="{F85AB3CD-0297-F75C-5651-0E7F793585C0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5">
                        <a:lumMod val="75000"/>
                      </a:schemeClr>
                    </a:solidFill>
                  </a:rPr>
                  <a:t>INVESTIMENTI</a:t>
                </a:r>
              </a:p>
            </xdr:txBody>
          </xdr:sp>
          <xdr:sp macro="" textlink="CALCOLI!P30">
            <xdr:nvSpPr>
              <xdr:cNvPr id="72" name="CasellaDiTesto 71">
                <a:extLst>
                  <a:ext uri="{FF2B5EF4-FFF2-40B4-BE49-F238E27FC236}">
                    <a16:creationId xmlns:a16="http://schemas.microsoft.com/office/drawing/2014/main" id="{12FBD14D-C974-5E68-F468-69A13B031F31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494AE54-BED2-4F59-BD5A-8CA5AB2E23DE}" type="TxLink">
                  <a:rPr lang="en-US" sz="3600" b="1" i="0" u="none" strike="noStrike">
                    <a:solidFill>
                      <a:schemeClr val="accent5">
                        <a:lumMod val="75000"/>
                      </a:schemeClr>
                    </a:solidFill>
                    <a:latin typeface="+mn-lt"/>
                    <a:cs typeface="Calibri"/>
                  </a:rPr>
                  <a:pPr algn="ctr"/>
                  <a:t>0,00 €</a:t>
                </a:fld>
                <a:endParaRPr lang="it-IT" sz="3600" b="1" u="none">
                  <a:solidFill>
                    <a:schemeClr val="accent5">
                      <a:lumMod val="75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64" name="Gruppo 63">
              <a:extLst>
                <a:ext uri="{FF2B5EF4-FFF2-40B4-BE49-F238E27FC236}">
                  <a16:creationId xmlns:a16="http://schemas.microsoft.com/office/drawing/2014/main" id="{0B7CB2A3-6FA9-A5F7-39B9-3852D2F2EF2A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65" name="Gruppo 64">
                <a:extLst>
                  <a:ext uri="{FF2B5EF4-FFF2-40B4-BE49-F238E27FC236}">
                    <a16:creationId xmlns:a16="http://schemas.microsoft.com/office/drawing/2014/main" id="{78B12B3E-0B1F-3E42-28A6-E4B674BC7E87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69" name="CasellaDiTesto 68">
                  <a:extLst>
                    <a:ext uri="{FF2B5EF4-FFF2-40B4-BE49-F238E27FC236}">
                      <a16:creationId xmlns:a16="http://schemas.microsoft.com/office/drawing/2014/main" id="{743968D4-8470-E708-308B-A3D6C3708C72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ETF</a:t>
                  </a:r>
                </a:p>
              </xdr:txBody>
            </xdr:sp>
            <xdr:sp macro="" textlink="CALCOLI!M30">
              <xdr:nvSpPr>
                <xdr:cNvPr id="70" name="CasellaDiTesto 69">
                  <a:extLst>
                    <a:ext uri="{FF2B5EF4-FFF2-40B4-BE49-F238E27FC236}">
                      <a16:creationId xmlns:a16="http://schemas.microsoft.com/office/drawing/2014/main" id="{D4879336-C275-4D7F-DF71-CDCCC9CA0210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14A948C6-6D24-4BC3-95BE-4A15E2B1B0E8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66" name="Gruppo 65">
                <a:extLst>
                  <a:ext uri="{FF2B5EF4-FFF2-40B4-BE49-F238E27FC236}">
                    <a16:creationId xmlns:a16="http://schemas.microsoft.com/office/drawing/2014/main" id="{8F56796E-E8E7-A6FE-3A77-0F8D6A5CE689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67" name="CasellaDiTesto 66">
                  <a:extLst>
                    <a:ext uri="{FF2B5EF4-FFF2-40B4-BE49-F238E27FC236}">
                      <a16:creationId xmlns:a16="http://schemas.microsoft.com/office/drawing/2014/main" id="{3EE078FD-057D-435B-5430-214D286AFEB7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F. PENS.</a:t>
                  </a:r>
                </a:p>
              </xdr:txBody>
            </xdr:sp>
            <xdr:sp macro="" textlink="CALCOLI!N30">
              <xdr:nvSpPr>
                <xdr:cNvPr id="68" name="CasellaDiTesto 67">
                  <a:extLst>
                    <a:ext uri="{FF2B5EF4-FFF2-40B4-BE49-F238E27FC236}">
                      <a16:creationId xmlns:a16="http://schemas.microsoft.com/office/drawing/2014/main" id="{2360011F-BEA5-104C-06EE-B8666FBA811F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8255CD2A-1E6F-46C9-9834-EDCA9C2A5151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15</xdr:col>
      <xdr:colOff>290577</xdr:colOff>
      <xdr:row>13</xdr:row>
      <xdr:rowOff>28831</xdr:rowOff>
    </xdr:from>
    <xdr:to>
      <xdr:col>20</xdr:col>
      <xdr:colOff>220820</xdr:colOff>
      <xdr:row>22</xdr:row>
      <xdr:rowOff>67737</xdr:rowOff>
    </xdr:to>
    <xdr:grpSp>
      <xdr:nvGrpSpPr>
        <xdr:cNvPr id="51" name="Gruppo 50">
          <a:extLst>
            <a:ext uri="{FF2B5EF4-FFF2-40B4-BE49-F238E27FC236}">
              <a16:creationId xmlns:a16="http://schemas.microsoft.com/office/drawing/2014/main" id="{A5B59838-F8A8-433D-AC2F-A528142BCB4A}"/>
            </a:ext>
          </a:extLst>
        </xdr:cNvPr>
        <xdr:cNvGrpSpPr/>
      </xdr:nvGrpSpPr>
      <xdr:grpSpPr>
        <a:xfrm>
          <a:off x="9434577" y="2450298"/>
          <a:ext cx="2978243" cy="1715306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52" name="Rettangolo con angoli arrotondati 51">
            <a:extLst>
              <a:ext uri="{FF2B5EF4-FFF2-40B4-BE49-F238E27FC236}">
                <a16:creationId xmlns:a16="http://schemas.microsoft.com/office/drawing/2014/main" id="{9DFCE099-CA2F-BE0A-7943-CBFD35078F41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53" name="Gruppo 52">
            <a:extLst>
              <a:ext uri="{FF2B5EF4-FFF2-40B4-BE49-F238E27FC236}">
                <a16:creationId xmlns:a16="http://schemas.microsoft.com/office/drawing/2014/main" id="{7939B516-7E96-1C8D-E42F-1F7A43B8DBAC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54" name="Gruppo 53">
              <a:extLst>
                <a:ext uri="{FF2B5EF4-FFF2-40B4-BE49-F238E27FC236}">
                  <a16:creationId xmlns:a16="http://schemas.microsoft.com/office/drawing/2014/main" id="{44231EB8-1D61-08B7-4956-5143D214FFE5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82" name="CasellaDiTesto 81">
                <a:extLst>
                  <a:ext uri="{FF2B5EF4-FFF2-40B4-BE49-F238E27FC236}">
                    <a16:creationId xmlns:a16="http://schemas.microsoft.com/office/drawing/2014/main" id="{1EFFD418-80E5-A5BE-45F2-1A50E464ADC6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rgbClr val="FF0000"/>
                    </a:solidFill>
                  </a:rPr>
                  <a:t>SPESE</a:t>
                </a:r>
              </a:p>
            </xdr:txBody>
          </xdr:sp>
          <xdr:sp macro="" textlink="CALCOLI!P24">
            <xdr:nvSpPr>
              <xdr:cNvPr id="83" name="CasellaDiTesto 82">
                <a:extLst>
                  <a:ext uri="{FF2B5EF4-FFF2-40B4-BE49-F238E27FC236}">
                    <a16:creationId xmlns:a16="http://schemas.microsoft.com/office/drawing/2014/main" id="{FD848584-47F3-AFDA-29C0-3AAFDE1F9598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6E504B95-BC71-44AD-AB3D-2130D6C6D9D9}" type="TxLink">
                  <a:rPr lang="en-US" sz="3600" b="1" i="0" u="none" strike="noStrike">
                    <a:solidFill>
                      <a:srgbClr val="FF0000"/>
                    </a:solidFill>
                    <a:latin typeface="Aptos Narrow"/>
                  </a:rPr>
                  <a:pPr algn="ctr"/>
                  <a:t>1.137,47 €</a:t>
                </a:fld>
                <a:endParaRPr lang="it-IT" sz="3600" b="1" u="none">
                  <a:solidFill>
                    <a:srgbClr val="FF0000"/>
                  </a:solidFill>
                </a:endParaRPr>
              </a:p>
            </xdr:txBody>
          </xdr:sp>
        </xdr:grpSp>
        <xdr:grpSp>
          <xdr:nvGrpSpPr>
            <xdr:cNvPr id="74" name="Gruppo 73">
              <a:extLst>
                <a:ext uri="{FF2B5EF4-FFF2-40B4-BE49-F238E27FC236}">
                  <a16:creationId xmlns:a16="http://schemas.microsoft.com/office/drawing/2014/main" id="{B6A22095-EAEA-5C6B-BC34-719B75AA8982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75" name="Gruppo 74">
                <a:extLst>
                  <a:ext uri="{FF2B5EF4-FFF2-40B4-BE49-F238E27FC236}">
                    <a16:creationId xmlns:a16="http://schemas.microsoft.com/office/drawing/2014/main" id="{5D2E5D6C-8340-00E8-3BF4-182509D1046C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80" name="CasellaDiTesto 79">
                  <a:extLst>
                    <a:ext uri="{FF2B5EF4-FFF2-40B4-BE49-F238E27FC236}">
                      <a16:creationId xmlns:a16="http://schemas.microsoft.com/office/drawing/2014/main" id="{60D50357-9BC2-D3E8-F653-693D44F14DE6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NECESSITÀ</a:t>
                  </a:r>
                </a:p>
              </xdr:txBody>
            </xdr:sp>
            <xdr:sp macro="" textlink="CALCOLI!M24">
              <xdr:nvSpPr>
                <xdr:cNvPr id="81" name="CasellaDiTesto 80">
                  <a:extLst>
                    <a:ext uri="{FF2B5EF4-FFF2-40B4-BE49-F238E27FC236}">
                      <a16:creationId xmlns:a16="http://schemas.microsoft.com/office/drawing/2014/main" id="{B9B01B03-28CC-C1C1-DAE1-66175963BAD0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8F3FE2F-E3B7-447B-97BE-449A21AB8127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951,67 €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77" name="Gruppo 76">
                <a:extLst>
                  <a:ext uri="{FF2B5EF4-FFF2-40B4-BE49-F238E27FC236}">
                    <a16:creationId xmlns:a16="http://schemas.microsoft.com/office/drawing/2014/main" id="{EA5BE31B-6D0E-46D9-AC59-F449FB02DF0D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78" name="CasellaDiTesto 77">
                  <a:extLst>
                    <a:ext uri="{FF2B5EF4-FFF2-40B4-BE49-F238E27FC236}">
                      <a16:creationId xmlns:a16="http://schemas.microsoft.com/office/drawing/2014/main" id="{691AB7D0-816B-0E2E-6FE5-1C234E3838FA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SVAGO</a:t>
                  </a:r>
                </a:p>
              </xdr:txBody>
            </xdr:sp>
            <xdr:sp macro="" textlink="CALCOLI!N24">
              <xdr:nvSpPr>
                <xdr:cNvPr id="79" name="CasellaDiTesto 78">
                  <a:extLst>
                    <a:ext uri="{FF2B5EF4-FFF2-40B4-BE49-F238E27FC236}">
                      <a16:creationId xmlns:a16="http://schemas.microsoft.com/office/drawing/2014/main" id="{96414179-770A-2EE9-8418-7FFA6EB60BF5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3A0F0B93-3EC4-4B99-9828-78AEC76212A8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142,40 €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10</xdr:col>
      <xdr:colOff>75705</xdr:colOff>
      <xdr:row>36</xdr:row>
      <xdr:rowOff>35007</xdr:rowOff>
    </xdr:from>
    <xdr:to>
      <xdr:col>17</xdr:col>
      <xdr:colOff>187283</xdr:colOff>
      <xdr:row>65</xdr:row>
      <xdr:rowOff>127536</xdr:rowOff>
    </xdr:to>
    <xdr:grpSp>
      <xdr:nvGrpSpPr>
        <xdr:cNvPr id="17" name="Gruppo 16">
          <a:extLst>
            <a:ext uri="{FF2B5EF4-FFF2-40B4-BE49-F238E27FC236}">
              <a16:creationId xmlns:a16="http://schemas.microsoft.com/office/drawing/2014/main" id="{FC1B51AF-045A-9A2E-72CB-E78E477DF849}"/>
            </a:ext>
          </a:extLst>
        </xdr:cNvPr>
        <xdr:cNvGrpSpPr/>
      </xdr:nvGrpSpPr>
      <xdr:grpSpPr>
        <a:xfrm>
          <a:off x="6171705" y="6740607"/>
          <a:ext cx="4378778" cy="5494262"/>
          <a:chOff x="6452507" y="6538356"/>
          <a:chExt cx="4378778" cy="5315693"/>
        </a:xfrm>
      </xdr:grpSpPr>
      <xdr:sp macro="" textlink="">
        <xdr:nvSpPr>
          <xdr:cNvPr id="3" name="Rettangolo con angoli arrotondati 2">
            <a:extLst>
              <a:ext uri="{FF2B5EF4-FFF2-40B4-BE49-F238E27FC236}">
                <a16:creationId xmlns:a16="http://schemas.microsoft.com/office/drawing/2014/main" id="{882A1A5C-0B40-5813-EEDD-09E746F6050A}"/>
              </a:ext>
            </a:extLst>
          </xdr:cNvPr>
          <xdr:cNvSpPr/>
        </xdr:nvSpPr>
        <xdr:spPr>
          <a:xfrm>
            <a:off x="6452507" y="6538356"/>
            <a:ext cx="4378778" cy="5315693"/>
          </a:xfrm>
          <a:prstGeom prst="roundRect">
            <a:avLst>
              <a:gd name="adj" fmla="val 6599"/>
            </a:avLst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grpSp>
        <xdr:nvGrpSpPr>
          <xdr:cNvPr id="89" name="Gruppo 88">
            <a:extLst>
              <a:ext uri="{FF2B5EF4-FFF2-40B4-BE49-F238E27FC236}">
                <a16:creationId xmlns:a16="http://schemas.microsoft.com/office/drawing/2014/main" id="{3D0DF8E6-3C53-4AD5-FF44-11C34334D2CF}"/>
              </a:ext>
            </a:extLst>
          </xdr:cNvPr>
          <xdr:cNvGrpSpPr/>
        </xdr:nvGrpSpPr>
        <xdr:grpSpPr>
          <a:xfrm>
            <a:off x="6630876" y="6862010"/>
            <a:ext cx="4022040" cy="4668385"/>
            <a:chOff x="5942259" y="7042738"/>
            <a:chExt cx="4022040" cy="4784742"/>
          </a:xfrm>
        </xdr:grpSpPr>
        <xdr:sp macro="" textlink="">
          <xdr:nvSpPr>
            <xdr:cNvPr id="92" name="CasellaDiTesto 91">
              <a:extLst>
                <a:ext uri="{FF2B5EF4-FFF2-40B4-BE49-F238E27FC236}">
                  <a16:creationId xmlns:a16="http://schemas.microsoft.com/office/drawing/2014/main" id="{6178238E-9B0B-408D-8999-62B686990C57}"/>
                </a:ext>
              </a:extLst>
            </xdr:cNvPr>
            <xdr:cNvSpPr txBox="1"/>
          </xdr:nvSpPr>
          <xdr:spPr>
            <a:xfrm>
              <a:off x="7525441" y="7042738"/>
              <a:ext cx="1425564" cy="3659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it-IT" sz="2400" b="1">
                  <a:solidFill>
                    <a:srgbClr val="FF0000"/>
                  </a:solidFill>
                </a:rPr>
                <a:t>OBIETTIVI</a:t>
              </a:r>
            </a:p>
          </xdr:txBody>
        </xdr:sp>
        <xdr:grpSp>
          <xdr:nvGrpSpPr>
            <xdr:cNvPr id="39" name="Gruppo 38">
              <a:extLst>
                <a:ext uri="{FF2B5EF4-FFF2-40B4-BE49-F238E27FC236}">
                  <a16:creationId xmlns:a16="http://schemas.microsoft.com/office/drawing/2014/main" id="{656E8F66-E420-330B-3E3C-32F9179F6DCC}"/>
                </a:ext>
              </a:extLst>
            </xdr:cNvPr>
            <xdr:cNvGrpSpPr/>
          </xdr:nvGrpSpPr>
          <xdr:grpSpPr>
            <a:xfrm>
              <a:off x="5942259" y="7330390"/>
              <a:ext cx="4011107" cy="1438469"/>
              <a:chOff x="5942259" y="7330390"/>
              <a:chExt cx="4011107" cy="1438469"/>
            </a:xfrm>
          </xdr:grpSpPr>
          <xdr:grpSp>
            <xdr:nvGrpSpPr>
              <xdr:cNvPr id="98" name="Gruppo 97">
                <a:extLst>
                  <a:ext uri="{FF2B5EF4-FFF2-40B4-BE49-F238E27FC236}">
                    <a16:creationId xmlns:a16="http://schemas.microsoft.com/office/drawing/2014/main" id="{124EFC2E-60A6-BF30-8133-586DEB522770}"/>
                  </a:ext>
                </a:extLst>
              </xdr:cNvPr>
              <xdr:cNvGrpSpPr/>
            </xdr:nvGrpSpPr>
            <xdr:grpSpPr>
              <a:xfrm>
                <a:off x="5942259" y="7330390"/>
                <a:ext cx="1734588" cy="1438469"/>
                <a:chOff x="4269972" y="6656764"/>
                <a:chExt cx="1734588" cy="1420436"/>
              </a:xfrm>
            </xdr:grpSpPr>
            <xdr:graphicFrame macro="">
              <xdr:nvGraphicFramePr>
                <xdr:cNvPr id="85" name="Grafico 84">
                  <a:extLst>
                    <a:ext uri="{FF2B5EF4-FFF2-40B4-BE49-F238E27FC236}">
                      <a16:creationId xmlns:a16="http://schemas.microsoft.com/office/drawing/2014/main" id="{9E48BC7D-D89C-41C3-A5A8-436406F36B19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4269972" y="6656764"/>
                <a:ext cx="1734588" cy="1420436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1"/>
                </a:graphicData>
              </a:graphic>
            </xdr:graphicFrame>
            <xdr:sp macro="" textlink="CALCOLI!V18">
              <xdr:nvSpPr>
                <xdr:cNvPr id="84" name="CasellaDiTesto 83">
                  <a:extLst>
                    <a:ext uri="{FF2B5EF4-FFF2-40B4-BE49-F238E27FC236}">
                      <a16:creationId xmlns:a16="http://schemas.microsoft.com/office/drawing/2014/main" id="{A384C242-F702-453E-844F-FA1209CEC793}"/>
                    </a:ext>
                  </a:extLst>
                </xdr:cNvPr>
                <xdr:cNvSpPr txBox="1"/>
              </xdr:nvSpPr>
              <xdr:spPr>
                <a:xfrm>
                  <a:off x="4658035" y="7211715"/>
                  <a:ext cx="958463" cy="31053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0FA25110-FB65-493B-80C4-23F0157B3602}" type="TxLink">
                    <a:rPr lang="en-US" sz="2400" b="1" i="0" u="none" strike="noStrike">
                      <a:solidFill>
                        <a:srgbClr val="C00000"/>
                      </a:solidFill>
                      <a:latin typeface="+mn-lt"/>
                      <a:cs typeface="Calibri"/>
                    </a:rPr>
                    <a:pPr algn="ctr"/>
                    <a:t>114%</a:t>
                  </a:fld>
                  <a:endParaRPr lang="it-IT" sz="2400" b="1" u="none">
                    <a:solidFill>
                      <a:srgbClr val="C00000"/>
                    </a:solidFill>
                    <a:latin typeface="+mn-lt"/>
                  </a:endParaRPr>
                </a:p>
              </xdr:txBody>
            </xdr:sp>
          </xdr:grpSp>
          <xdr:grpSp>
            <xdr:nvGrpSpPr>
              <xdr:cNvPr id="206" name="Gruppo 205">
                <a:extLst>
                  <a:ext uri="{FF2B5EF4-FFF2-40B4-BE49-F238E27FC236}">
                    <a16:creationId xmlns:a16="http://schemas.microsoft.com/office/drawing/2014/main" id="{634C90CF-1F29-E4C2-8BF1-122E56C81B0B}"/>
                  </a:ext>
                </a:extLst>
              </xdr:cNvPr>
              <xdr:cNvGrpSpPr/>
            </xdr:nvGrpSpPr>
            <xdr:grpSpPr>
              <a:xfrm>
                <a:off x="7525441" y="7493935"/>
                <a:ext cx="1197792" cy="1111380"/>
                <a:chOff x="2195554" y="6632335"/>
                <a:chExt cx="1197792" cy="1081367"/>
              </a:xfrm>
            </xdr:grpSpPr>
            <xdr:sp macro="" textlink="">
              <xdr:nvSpPr>
                <xdr:cNvPr id="87" name="CasellaDiTesto 86">
                  <a:extLst>
                    <a:ext uri="{FF2B5EF4-FFF2-40B4-BE49-F238E27FC236}">
                      <a16:creationId xmlns:a16="http://schemas.microsoft.com/office/drawing/2014/main" id="{E4368AFE-FDDD-4242-A7BE-345CDFF03369}"/>
                    </a:ext>
                  </a:extLst>
                </xdr:cNvPr>
                <xdr:cNvSpPr txBox="1"/>
              </xdr:nvSpPr>
              <xdr:spPr>
                <a:xfrm>
                  <a:off x="2195554" y="6632335"/>
                  <a:ext cx="900892" cy="33415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>
                      <a:solidFill>
                        <a:srgbClr val="FF0000"/>
                      </a:solidFill>
                    </a:rPr>
                    <a:t>NECESSITÀ</a:t>
                  </a:r>
                </a:p>
              </xdr:txBody>
            </xdr:sp>
            <xdr:sp macro="" textlink="CALCOLI!M24">
              <xdr:nvSpPr>
                <xdr:cNvPr id="88" name="CasellaDiTesto 87">
                  <a:extLst>
                    <a:ext uri="{FF2B5EF4-FFF2-40B4-BE49-F238E27FC236}">
                      <a16:creationId xmlns:a16="http://schemas.microsoft.com/office/drawing/2014/main" id="{7C1D41FF-2268-4931-A41B-01AE066BF7C1}"/>
                    </a:ext>
                  </a:extLst>
                </xdr:cNvPr>
                <xdr:cNvSpPr txBox="1"/>
              </xdr:nvSpPr>
              <xdr:spPr>
                <a:xfrm>
                  <a:off x="2195554" y="6890819"/>
                  <a:ext cx="1186859" cy="307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81429C3-7F85-44A8-ACF3-AFB5074577BE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l"/>
                    <a:t>951,67 €</a:t>
                  </a:fld>
                  <a:endParaRPr lang="it-IT" sz="2000" b="1" u="none"/>
                </a:p>
              </xdr:txBody>
            </xdr:sp>
            <xdr:sp macro="" textlink="">
              <xdr:nvSpPr>
                <xdr:cNvPr id="93" name="CasellaDiTesto 92">
                  <a:extLst>
                    <a:ext uri="{FF2B5EF4-FFF2-40B4-BE49-F238E27FC236}">
                      <a16:creationId xmlns:a16="http://schemas.microsoft.com/office/drawing/2014/main" id="{2CA2E5FB-BECC-4F03-8C75-DF430E06DE9A}"/>
                    </a:ext>
                  </a:extLst>
                </xdr:cNvPr>
                <xdr:cNvSpPr txBox="1"/>
              </xdr:nvSpPr>
              <xdr:spPr>
                <a:xfrm>
                  <a:off x="2206487" y="7147774"/>
                  <a:ext cx="900892" cy="33415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/>
                    <a:t>MAX</a:t>
                  </a:r>
                </a:p>
              </xdr:txBody>
            </xdr:sp>
            <xdr:sp macro="" textlink="CALCOLI!U18">
              <xdr:nvSpPr>
                <xdr:cNvPr id="94" name="CasellaDiTesto 93">
                  <a:extLst>
                    <a:ext uri="{FF2B5EF4-FFF2-40B4-BE49-F238E27FC236}">
                      <a16:creationId xmlns:a16="http://schemas.microsoft.com/office/drawing/2014/main" id="{F522639E-FC17-4DC2-A553-B1FF03BE4699}"/>
                    </a:ext>
                  </a:extLst>
                </xdr:cNvPr>
                <xdr:cNvSpPr txBox="1"/>
              </xdr:nvSpPr>
              <xdr:spPr>
                <a:xfrm>
                  <a:off x="2206487" y="7408922"/>
                  <a:ext cx="1186859" cy="30478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9988A507-6B25-4D25-A894-AA532ED2BCC7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l"/>
                    <a:t>832,15 €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  <xdr:grpSp>
            <xdr:nvGrpSpPr>
              <xdr:cNvPr id="97" name="Gruppo 96">
                <a:extLst>
                  <a:ext uri="{FF2B5EF4-FFF2-40B4-BE49-F238E27FC236}">
                    <a16:creationId xmlns:a16="http://schemas.microsoft.com/office/drawing/2014/main" id="{365C112E-038A-A288-265D-2EE289AD169C}"/>
                  </a:ext>
                </a:extLst>
              </xdr:cNvPr>
              <xdr:cNvGrpSpPr/>
            </xdr:nvGrpSpPr>
            <xdr:grpSpPr>
              <a:xfrm>
                <a:off x="8766507" y="8024487"/>
                <a:ext cx="1186859" cy="580828"/>
                <a:chOff x="7094220" y="7170420"/>
                <a:chExt cx="1186859" cy="574047"/>
              </a:xfrm>
            </xdr:grpSpPr>
            <xdr:sp macro="" textlink="">
              <xdr:nvSpPr>
                <xdr:cNvPr id="95" name="CasellaDiTesto 94">
                  <a:extLst>
                    <a:ext uri="{FF2B5EF4-FFF2-40B4-BE49-F238E27FC236}">
                      <a16:creationId xmlns:a16="http://schemas.microsoft.com/office/drawing/2014/main" id="{4202B64E-F1F7-4750-A756-9632C1EFC58B}"/>
                    </a:ext>
                  </a:extLst>
                </xdr:cNvPr>
                <xdr:cNvSpPr txBox="1"/>
              </xdr:nvSpPr>
              <xdr:spPr>
                <a:xfrm>
                  <a:off x="7094220" y="7170420"/>
                  <a:ext cx="900892" cy="33976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/>
                    <a:t>MARGINE</a:t>
                  </a:r>
                </a:p>
              </xdr:txBody>
            </xdr:sp>
            <xdr:sp macro="" textlink="CALCOLI!X18">
              <xdr:nvSpPr>
                <xdr:cNvPr id="96" name="CasellaDiTesto 95">
                  <a:extLst>
                    <a:ext uri="{FF2B5EF4-FFF2-40B4-BE49-F238E27FC236}">
                      <a16:creationId xmlns:a16="http://schemas.microsoft.com/office/drawing/2014/main" id="{7048B72F-6EC7-46A3-B3E2-204BBE2444A1}"/>
                    </a:ext>
                  </a:extLst>
                </xdr:cNvPr>
                <xdr:cNvSpPr txBox="1"/>
              </xdr:nvSpPr>
              <xdr:spPr>
                <a:xfrm>
                  <a:off x="7094220" y="7433936"/>
                  <a:ext cx="1186859" cy="31053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75BDF3B3-FFFA-419D-828E-D513507A9C34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l"/>
                    <a:t>--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</xdr:grpSp>
        <xdr:grpSp>
          <xdr:nvGrpSpPr>
            <xdr:cNvPr id="187" name="Gruppo 186">
              <a:extLst>
                <a:ext uri="{FF2B5EF4-FFF2-40B4-BE49-F238E27FC236}">
                  <a16:creationId xmlns:a16="http://schemas.microsoft.com/office/drawing/2014/main" id="{0F6B2FCD-868F-B6EB-2D34-000E0229556F}"/>
                </a:ext>
              </a:extLst>
            </xdr:cNvPr>
            <xdr:cNvGrpSpPr/>
          </xdr:nvGrpSpPr>
          <xdr:grpSpPr>
            <a:xfrm>
              <a:off x="5942259" y="8859701"/>
              <a:ext cx="4022040" cy="1438470"/>
              <a:chOff x="4269972" y="7957521"/>
              <a:chExt cx="4022040" cy="1391749"/>
            </a:xfrm>
          </xdr:grpSpPr>
          <xdr:grpSp>
            <xdr:nvGrpSpPr>
              <xdr:cNvPr id="100" name="Gruppo 99">
                <a:extLst>
                  <a:ext uri="{FF2B5EF4-FFF2-40B4-BE49-F238E27FC236}">
                    <a16:creationId xmlns:a16="http://schemas.microsoft.com/office/drawing/2014/main" id="{82BB4C18-CED2-4034-9954-F444AF2080B5}"/>
                  </a:ext>
                </a:extLst>
              </xdr:cNvPr>
              <xdr:cNvGrpSpPr/>
            </xdr:nvGrpSpPr>
            <xdr:grpSpPr>
              <a:xfrm>
                <a:off x="4269972" y="7957521"/>
                <a:ext cx="1734588" cy="1391749"/>
                <a:chOff x="4269972" y="6656764"/>
                <a:chExt cx="1734588" cy="1420436"/>
              </a:xfrm>
            </xdr:grpSpPr>
            <xdr:graphicFrame macro="">
              <xdr:nvGraphicFramePr>
                <xdr:cNvPr id="101" name="Grafico 100">
                  <a:extLst>
                    <a:ext uri="{FF2B5EF4-FFF2-40B4-BE49-F238E27FC236}">
                      <a16:creationId xmlns:a16="http://schemas.microsoft.com/office/drawing/2014/main" id="{D10F1BF9-7D2B-AA23-2844-CF7708981F5E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4269972" y="6656764"/>
                <a:ext cx="1734588" cy="1420436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2"/>
                </a:graphicData>
              </a:graphic>
            </xdr:graphicFrame>
            <xdr:sp macro="" textlink="CALCOLI!V19">
              <xdr:nvSpPr>
                <xdr:cNvPr id="130" name="CasellaDiTesto 129">
                  <a:extLst>
                    <a:ext uri="{FF2B5EF4-FFF2-40B4-BE49-F238E27FC236}">
                      <a16:creationId xmlns:a16="http://schemas.microsoft.com/office/drawing/2014/main" id="{C941317F-2B3A-91F7-F3F3-2388C7415AF6}"/>
                    </a:ext>
                  </a:extLst>
                </xdr:cNvPr>
                <xdr:cNvSpPr txBox="1"/>
              </xdr:nvSpPr>
              <xdr:spPr>
                <a:xfrm>
                  <a:off x="4658035" y="7211715"/>
                  <a:ext cx="958463" cy="31053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7F3D4CD-66BB-4A97-83C2-560E9520D5AF}" type="TxLink">
                    <a:rPr lang="en-US" sz="2400" b="1" i="0" u="none" strike="noStrike">
                      <a:solidFill>
                        <a:srgbClr val="C00000"/>
                      </a:solidFill>
                      <a:latin typeface="+mn-lt"/>
                      <a:cs typeface="Calibri"/>
                    </a:rPr>
                    <a:pPr algn="ctr"/>
                    <a:t>29%</a:t>
                  </a:fld>
                  <a:endParaRPr lang="it-IT" sz="2400" b="1" u="none">
                    <a:solidFill>
                      <a:srgbClr val="C00000"/>
                    </a:solidFill>
                    <a:latin typeface="+mn-lt"/>
                  </a:endParaRPr>
                </a:p>
              </xdr:txBody>
            </xdr:sp>
          </xdr:grpSp>
          <xdr:grpSp>
            <xdr:nvGrpSpPr>
              <xdr:cNvPr id="174" name="Gruppo 173">
                <a:extLst>
                  <a:ext uri="{FF2B5EF4-FFF2-40B4-BE49-F238E27FC236}">
                    <a16:creationId xmlns:a16="http://schemas.microsoft.com/office/drawing/2014/main" id="{E075FE9B-5845-CDAD-469A-EA54755E884E}"/>
                  </a:ext>
                </a:extLst>
              </xdr:cNvPr>
              <xdr:cNvGrpSpPr/>
            </xdr:nvGrpSpPr>
            <xdr:grpSpPr>
              <a:xfrm>
                <a:off x="5864087" y="8115233"/>
                <a:ext cx="2427925" cy="1076325"/>
                <a:chOff x="6078982" y="8276598"/>
                <a:chExt cx="2427925" cy="1097840"/>
              </a:xfrm>
            </xdr:grpSpPr>
            <xdr:sp macro="" textlink="">
              <xdr:nvSpPr>
                <xdr:cNvPr id="131" name="CasellaDiTesto 130">
                  <a:extLst>
                    <a:ext uri="{FF2B5EF4-FFF2-40B4-BE49-F238E27FC236}">
                      <a16:creationId xmlns:a16="http://schemas.microsoft.com/office/drawing/2014/main" id="{1848E3E7-368D-4747-AE0C-3F8D03D5FFDC}"/>
                    </a:ext>
                  </a:extLst>
                </xdr:cNvPr>
                <xdr:cNvSpPr txBox="1"/>
              </xdr:nvSpPr>
              <xdr:spPr>
                <a:xfrm>
                  <a:off x="6078982" y="8276598"/>
                  <a:ext cx="900892" cy="33976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>
                      <a:solidFill>
                        <a:srgbClr val="FF0000"/>
                      </a:solidFill>
                    </a:rPr>
                    <a:t>SVAGO</a:t>
                  </a:r>
                </a:p>
              </xdr:txBody>
            </xdr:sp>
            <xdr:sp macro="" textlink="CALCOLI!N24">
              <xdr:nvSpPr>
                <xdr:cNvPr id="132" name="CasellaDiTesto 131">
                  <a:extLst>
                    <a:ext uri="{FF2B5EF4-FFF2-40B4-BE49-F238E27FC236}">
                      <a16:creationId xmlns:a16="http://schemas.microsoft.com/office/drawing/2014/main" id="{8E60A259-FA34-4361-8A5A-1BCF82785847}"/>
                    </a:ext>
                  </a:extLst>
                </xdr:cNvPr>
                <xdr:cNvSpPr txBox="1"/>
              </xdr:nvSpPr>
              <xdr:spPr>
                <a:xfrm>
                  <a:off x="6078982" y="8537463"/>
                  <a:ext cx="1186859" cy="3131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F17D025-6334-47FF-93C9-4B13DE6F1979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l"/>
                    <a:t>142,40 €</a:t>
                  </a:fld>
                  <a:endParaRPr lang="it-IT" sz="2000" b="1" u="none"/>
                </a:p>
              </xdr:txBody>
            </xdr:sp>
            <xdr:sp macro="" textlink="">
              <xdr:nvSpPr>
                <xdr:cNvPr id="133" name="CasellaDiTesto 132">
                  <a:extLst>
                    <a:ext uri="{FF2B5EF4-FFF2-40B4-BE49-F238E27FC236}">
                      <a16:creationId xmlns:a16="http://schemas.microsoft.com/office/drawing/2014/main" id="{910588A9-A1A3-4C55-95F8-4FDB03832310}"/>
                    </a:ext>
                  </a:extLst>
                </xdr:cNvPr>
                <xdr:cNvSpPr txBox="1"/>
              </xdr:nvSpPr>
              <xdr:spPr>
                <a:xfrm>
                  <a:off x="6089915" y="8800391"/>
                  <a:ext cx="900892" cy="33976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/>
                    <a:t>MAX</a:t>
                  </a:r>
                </a:p>
              </xdr:txBody>
            </xdr:sp>
            <xdr:sp macro="" textlink="CALCOLI!U19">
              <xdr:nvSpPr>
                <xdr:cNvPr id="134" name="CasellaDiTesto 133">
                  <a:extLst>
                    <a:ext uri="{FF2B5EF4-FFF2-40B4-BE49-F238E27FC236}">
                      <a16:creationId xmlns:a16="http://schemas.microsoft.com/office/drawing/2014/main" id="{4EA02FFF-04CF-4A04-B476-A5ED00ACDE08}"/>
                    </a:ext>
                  </a:extLst>
                </xdr:cNvPr>
                <xdr:cNvSpPr txBox="1"/>
              </xdr:nvSpPr>
              <xdr:spPr>
                <a:xfrm>
                  <a:off x="6089915" y="9063907"/>
                  <a:ext cx="1186859" cy="31053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808382A5-6EDC-4235-BF9B-00493B2FB421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 (Corpo)"/>
                      <a:cs typeface="Calibri"/>
                    </a:rPr>
                    <a:pPr algn="l"/>
                    <a:t>499,29 €</a:t>
                  </a:fld>
                  <a:endParaRPr lang="it-IT" sz="2000" b="1" u="none">
                    <a:latin typeface="Aptos Narrow (Corpo)"/>
                  </a:endParaRPr>
                </a:p>
              </xdr:txBody>
            </xdr:sp>
            <xdr:grpSp>
              <xdr:nvGrpSpPr>
                <xdr:cNvPr id="171" name="Gruppo 170">
                  <a:extLst>
                    <a:ext uri="{FF2B5EF4-FFF2-40B4-BE49-F238E27FC236}">
                      <a16:creationId xmlns:a16="http://schemas.microsoft.com/office/drawing/2014/main" id="{420DB7F9-8F9D-4895-99B4-565CB6B690E8}"/>
                    </a:ext>
                  </a:extLst>
                </xdr:cNvPr>
                <xdr:cNvGrpSpPr/>
              </xdr:nvGrpSpPr>
              <xdr:grpSpPr>
                <a:xfrm>
                  <a:off x="7320048" y="8800391"/>
                  <a:ext cx="1186859" cy="574047"/>
                  <a:chOff x="7094220" y="7170420"/>
                  <a:chExt cx="1186859" cy="574047"/>
                </a:xfrm>
              </xdr:grpSpPr>
              <xdr:sp macro="" textlink="">
                <xdr:nvSpPr>
                  <xdr:cNvPr id="172" name="CasellaDiTesto 171">
                    <a:extLst>
                      <a:ext uri="{FF2B5EF4-FFF2-40B4-BE49-F238E27FC236}">
                        <a16:creationId xmlns:a16="http://schemas.microsoft.com/office/drawing/2014/main" id="{B0756848-E85F-584C-4162-AF123902644E}"/>
                      </a:ext>
                    </a:extLst>
                  </xdr:cNvPr>
                  <xdr:cNvSpPr txBox="1"/>
                </xdr:nvSpPr>
                <xdr:spPr>
                  <a:xfrm>
                    <a:off x="7094220" y="7170420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MARGINE</a:t>
                    </a:r>
                  </a:p>
                </xdr:txBody>
              </xdr:sp>
              <xdr:sp macro="" textlink="CALCOLI!X19">
                <xdr:nvSpPr>
                  <xdr:cNvPr id="173" name="CasellaDiTesto 172">
                    <a:extLst>
                      <a:ext uri="{FF2B5EF4-FFF2-40B4-BE49-F238E27FC236}">
                        <a16:creationId xmlns:a16="http://schemas.microsoft.com/office/drawing/2014/main" id="{C8CF2107-1BE8-E4FF-F21E-5E87BD535737}"/>
                      </a:ext>
                    </a:extLst>
                  </xdr:cNvPr>
                  <xdr:cNvSpPr txBox="1"/>
                </xdr:nvSpPr>
                <xdr:spPr>
                  <a:xfrm>
                    <a:off x="7094220" y="7433936"/>
                    <a:ext cx="1186859" cy="3105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F27B56D1-268D-4EAD-B369-7F7D7A6FD433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l"/>
                      <a:t>356,89 €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</xdr:grpSp>
        </xdr:grpSp>
        <xdr:grpSp>
          <xdr:nvGrpSpPr>
            <xdr:cNvPr id="186" name="Gruppo 185">
              <a:extLst>
                <a:ext uri="{FF2B5EF4-FFF2-40B4-BE49-F238E27FC236}">
                  <a16:creationId xmlns:a16="http://schemas.microsoft.com/office/drawing/2014/main" id="{44027873-0CE6-923A-4F29-00A1016CA0F0}"/>
                </a:ext>
              </a:extLst>
            </xdr:cNvPr>
            <xdr:cNvGrpSpPr/>
          </xdr:nvGrpSpPr>
          <xdr:grpSpPr>
            <a:xfrm>
              <a:off x="5942259" y="10394774"/>
              <a:ext cx="4022040" cy="1432706"/>
              <a:chOff x="4715435" y="9493623"/>
              <a:chExt cx="4022040" cy="1391749"/>
            </a:xfrm>
          </xdr:grpSpPr>
          <xdr:grpSp>
            <xdr:nvGrpSpPr>
              <xdr:cNvPr id="175" name="Gruppo 174">
                <a:extLst>
                  <a:ext uri="{FF2B5EF4-FFF2-40B4-BE49-F238E27FC236}">
                    <a16:creationId xmlns:a16="http://schemas.microsoft.com/office/drawing/2014/main" id="{282BBCF3-E903-4B11-B6CE-E56152ABE7C1}"/>
                  </a:ext>
                </a:extLst>
              </xdr:cNvPr>
              <xdr:cNvGrpSpPr/>
            </xdr:nvGrpSpPr>
            <xdr:grpSpPr>
              <a:xfrm>
                <a:off x="4715435" y="9493623"/>
                <a:ext cx="1734588" cy="1391749"/>
                <a:chOff x="4269972" y="6656764"/>
                <a:chExt cx="1734588" cy="1420436"/>
              </a:xfrm>
            </xdr:grpSpPr>
            <xdr:graphicFrame macro="">
              <xdr:nvGraphicFramePr>
                <xdr:cNvPr id="176" name="Grafico 175">
                  <a:extLst>
                    <a:ext uri="{FF2B5EF4-FFF2-40B4-BE49-F238E27FC236}">
                      <a16:creationId xmlns:a16="http://schemas.microsoft.com/office/drawing/2014/main" id="{4A7F482F-2B7A-43A0-945F-449B042940A6}"/>
                    </a:ext>
                  </a:extLst>
                </xdr:cNvPr>
                <xdr:cNvGraphicFramePr>
                  <a:graphicFrameLocks/>
                </xdr:cNvGraphicFramePr>
              </xdr:nvGraphicFramePr>
              <xdr:xfrm>
                <a:off x="4269972" y="6656764"/>
                <a:ext cx="1734588" cy="1420436"/>
              </xdr:xfrm>
              <a:graphic>
                <a:graphicData uri="http://schemas.openxmlformats.org/drawingml/2006/chart">
                  <c:chart xmlns:c="http://schemas.openxmlformats.org/drawingml/2006/chart" xmlns:r="http://schemas.openxmlformats.org/officeDocument/2006/relationships" r:id="rId3"/>
                </a:graphicData>
              </a:graphic>
            </xdr:graphicFrame>
            <xdr:sp macro="" textlink="CALCOLI!V20">
              <xdr:nvSpPr>
                <xdr:cNvPr id="177" name="CasellaDiTesto 176">
                  <a:extLst>
                    <a:ext uri="{FF2B5EF4-FFF2-40B4-BE49-F238E27FC236}">
                      <a16:creationId xmlns:a16="http://schemas.microsoft.com/office/drawing/2014/main" id="{9C90BAE1-303D-9E36-CCD1-038353A0D7C1}"/>
                    </a:ext>
                  </a:extLst>
                </xdr:cNvPr>
                <xdr:cNvSpPr txBox="1"/>
              </xdr:nvSpPr>
              <xdr:spPr>
                <a:xfrm>
                  <a:off x="4658035" y="7211717"/>
                  <a:ext cx="958463" cy="31053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E318DE58-EFD3-460E-8974-296D7675751A}" type="TxLink">
                    <a:rPr lang="en-US" sz="2400" b="1" i="0" u="none" strike="noStrike">
                      <a:solidFill>
                        <a:schemeClr val="accent1"/>
                      </a:solidFill>
                      <a:latin typeface="Aptos Narrow (Corpo)"/>
                      <a:cs typeface="Calibri"/>
                    </a:rPr>
                    <a:pPr algn="ctr"/>
                    <a:t>32%</a:t>
                  </a:fld>
                  <a:endParaRPr lang="it-IT" sz="2400" b="1" u="none">
                    <a:solidFill>
                      <a:schemeClr val="accent1"/>
                    </a:solidFill>
                    <a:latin typeface="Aptos Narrow (Corpo)"/>
                  </a:endParaRPr>
                </a:p>
              </xdr:txBody>
            </xdr:sp>
          </xdr:grpSp>
          <xdr:grpSp>
            <xdr:nvGrpSpPr>
              <xdr:cNvPr id="178" name="Gruppo 177">
                <a:extLst>
                  <a:ext uri="{FF2B5EF4-FFF2-40B4-BE49-F238E27FC236}">
                    <a16:creationId xmlns:a16="http://schemas.microsoft.com/office/drawing/2014/main" id="{A92A74D9-7E29-4699-87EE-673763B81A3B}"/>
                  </a:ext>
                </a:extLst>
              </xdr:cNvPr>
              <xdr:cNvGrpSpPr/>
            </xdr:nvGrpSpPr>
            <xdr:grpSpPr>
              <a:xfrm>
                <a:off x="6309550" y="9651335"/>
                <a:ext cx="2427925" cy="1076325"/>
                <a:chOff x="6078982" y="8276598"/>
                <a:chExt cx="2427925" cy="1097840"/>
              </a:xfrm>
            </xdr:grpSpPr>
            <xdr:sp macro="" textlink="">
              <xdr:nvSpPr>
                <xdr:cNvPr id="179" name="CasellaDiTesto 178">
                  <a:extLst>
                    <a:ext uri="{FF2B5EF4-FFF2-40B4-BE49-F238E27FC236}">
                      <a16:creationId xmlns:a16="http://schemas.microsoft.com/office/drawing/2014/main" id="{A96E7886-95E9-9184-41A6-B5DEDAFB3E07}"/>
                    </a:ext>
                  </a:extLst>
                </xdr:cNvPr>
                <xdr:cNvSpPr txBox="1"/>
              </xdr:nvSpPr>
              <xdr:spPr>
                <a:xfrm>
                  <a:off x="6078982" y="8276598"/>
                  <a:ext cx="900892" cy="33976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>
                      <a:solidFill>
                        <a:schemeClr val="accent4">
                          <a:lumMod val="75000"/>
                        </a:schemeClr>
                      </a:solidFill>
                    </a:rPr>
                    <a:t>RISPARMI</a:t>
                  </a:r>
                </a:p>
              </xdr:txBody>
            </xdr:sp>
            <xdr:sp macro="" textlink="CALCOLI!M27">
              <xdr:nvSpPr>
                <xdr:cNvPr id="180" name="CasellaDiTesto 179">
                  <a:extLst>
                    <a:ext uri="{FF2B5EF4-FFF2-40B4-BE49-F238E27FC236}">
                      <a16:creationId xmlns:a16="http://schemas.microsoft.com/office/drawing/2014/main" id="{9AD834EE-EABB-02C1-8778-3B798F03D3EF}"/>
                    </a:ext>
                  </a:extLst>
                </xdr:cNvPr>
                <xdr:cNvSpPr txBox="1"/>
              </xdr:nvSpPr>
              <xdr:spPr>
                <a:xfrm>
                  <a:off x="6078982" y="8537463"/>
                  <a:ext cx="1186859" cy="3131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C1169FB0-2B4B-4F30-8B2E-A0AF7E59CE57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 (Corpo)"/>
                      <a:cs typeface="Calibri"/>
                    </a:rPr>
                    <a:pPr algn="l"/>
                    <a:t>100,00 €</a:t>
                  </a:fld>
                  <a:endParaRPr lang="it-IT" sz="2000" b="1" u="none">
                    <a:latin typeface="Aptos Narrow (Corpo)"/>
                  </a:endParaRPr>
                </a:p>
              </xdr:txBody>
            </xdr:sp>
            <xdr:sp macro="" textlink="">
              <xdr:nvSpPr>
                <xdr:cNvPr id="181" name="CasellaDiTesto 180">
                  <a:extLst>
                    <a:ext uri="{FF2B5EF4-FFF2-40B4-BE49-F238E27FC236}">
                      <a16:creationId xmlns:a16="http://schemas.microsoft.com/office/drawing/2014/main" id="{33486C0A-97C2-F359-5E4B-D5DF3DCF958B}"/>
                    </a:ext>
                  </a:extLst>
                </xdr:cNvPr>
                <xdr:cNvSpPr txBox="1"/>
              </xdr:nvSpPr>
              <xdr:spPr>
                <a:xfrm>
                  <a:off x="6089915" y="8800391"/>
                  <a:ext cx="900892" cy="339768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it-IT" sz="1200" b="1"/>
                    <a:t>MIN</a:t>
                  </a:r>
                </a:p>
              </xdr:txBody>
            </xdr:sp>
            <xdr:sp macro="" textlink="CALCOLI!U20">
              <xdr:nvSpPr>
                <xdr:cNvPr id="182" name="CasellaDiTesto 181">
                  <a:extLst>
                    <a:ext uri="{FF2B5EF4-FFF2-40B4-BE49-F238E27FC236}">
                      <a16:creationId xmlns:a16="http://schemas.microsoft.com/office/drawing/2014/main" id="{18AD1395-A4D5-7AFC-8609-84269F5BDB64}"/>
                    </a:ext>
                  </a:extLst>
                </xdr:cNvPr>
                <xdr:cNvSpPr txBox="1"/>
              </xdr:nvSpPr>
              <xdr:spPr>
                <a:xfrm>
                  <a:off x="6089915" y="9063907"/>
                  <a:ext cx="1186859" cy="31053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fld id="{B777901B-E5A8-41A3-9054-854E69EC5F3E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 (Corpo)"/>
                      <a:cs typeface="Calibri"/>
                    </a:rPr>
                    <a:pPr algn="l"/>
                    <a:t>316,22 €</a:t>
                  </a:fld>
                  <a:endParaRPr lang="it-IT" sz="2000" b="1" i="0" u="none">
                    <a:latin typeface="Aptos Narrow (Corpo)"/>
                  </a:endParaRPr>
                </a:p>
              </xdr:txBody>
            </xdr:sp>
            <xdr:grpSp>
              <xdr:nvGrpSpPr>
                <xdr:cNvPr id="183" name="Gruppo 182">
                  <a:extLst>
                    <a:ext uri="{FF2B5EF4-FFF2-40B4-BE49-F238E27FC236}">
                      <a16:creationId xmlns:a16="http://schemas.microsoft.com/office/drawing/2014/main" id="{492E9F16-30A4-7056-E223-B2EB010E046C}"/>
                    </a:ext>
                  </a:extLst>
                </xdr:cNvPr>
                <xdr:cNvGrpSpPr/>
              </xdr:nvGrpSpPr>
              <xdr:grpSpPr>
                <a:xfrm>
                  <a:off x="7320048" y="8800391"/>
                  <a:ext cx="1186859" cy="574047"/>
                  <a:chOff x="7094220" y="7170420"/>
                  <a:chExt cx="1186859" cy="574047"/>
                </a:xfrm>
              </xdr:grpSpPr>
              <xdr:sp macro="" textlink="">
                <xdr:nvSpPr>
                  <xdr:cNvPr id="184" name="CasellaDiTesto 183">
                    <a:extLst>
                      <a:ext uri="{FF2B5EF4-FFF2-40B4-BE49-F238E27FC236}">
                        <a16:creationId xmlns:a16="http://schemas.microsoft.com/office/drawing/2014/main" id="{D47C605A-435A-C3F7-9289-2D27C37CF4B8}"/>
                      </a:ext>
                    </a:extLst>
                  </xdr:cNvPr>
                  <xdr:cNvSpPr txBox="1"/>
                </xdr:nvSpPr>
                <xdr:spPr>
                  <a:xfrm>
                    <a:off x="7094220" y="7170420"/>
                    <a:ext cx="900892" cy="33976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r>
                      <a:rPr lang="it-IT" sz="1200" b="1"/>
                      <a:t>RESTANTE</a:t>
                    </a:r>
                  </a:p>
                </xdr:txBody>
              </xdr:sp>
              <xdr:sp macro="" textlink="CALCOLI!X20">
                <xdr:nvSpPr>
                  <xdr:cNvPr id="185" name="CasellaDiTesto 184">
                    <a:extLst>
                      <a:ext uri="{FF2B5EF4-FFF2-40B4-BE49-F238E27FC236}">
                        <a16:creationId xmlns:a16="http://schemas.microsoft.com/office/drawing/2014/main" id="{87FA1762-2CC4-CCB9-FC1C-73C0A28D946D}"/>
                      </a:ext>
                    </a:extLst>
                  </xdr:cNvPr>
                  <xdr:cNvSpPr txBox="1"/>
                </xdr:nvSpPr>
                <xdr:spPr>
                  <a:xfrm>
                    <a:off x="7094220" y="7433936"/>
                    <a:ext cx="1186859" cy="310531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l"/>
                    <a:fld id="{7B0C3E74-0C6F-42F3-AE8D-B89B24799C6E}" type="TxLink">
                      <a:rPr lang="en-US" sz="2000" b="1" i="0" u="none" strike="noStrike">
                        <a:solidFill>
                          <a:srgbClr val="000000"/>
                        </a:solidFill>
                        <a:latin typeface="Aptos Narrow (Corpo)"/>
                        <a:cs typeface="Calibri"/>
                      </a:rPr>
                      <a:pPr algn="l"/>
                      <a:t>216,22 €</a:t>
                    </a:fld>
                    <a:endParaRPr lang="it-IT" sz="2000" b="1" u="none">
                      <a:latin typeface="Aptos Narrow (Corpo)"/>
                    </a:endParaRPr>
                  </a:p>
                </xdr:txBody>
              </xdr:sp>
            </xdr:grpSp>
          </xdr:grpSp>
        </xdr:grpSp>
      </xdr:grpSp>
    </xdr:grpSp>
    <xdr:clientData/>
  </xdr:twoCellAnchor>
  <xdr:twoCellAnchor>
    <xdr:from>
      <xdr:col>18</xdr:col>
      <xdr:colOff>359971</xdr:colOff>
      <xdr:row>36</xdr:row>
      <xdr:rowOff>35007</xdr:rowOff>
    </xdr:from>
    <xdr:to>
      <xdr:col>25</xdr:col>
      <xdr:colOff>471549</xdr:colOff>
      <xdr:row>65</xdr:row>
      <xdr:rowOff>127536</xdr:rowOff>
    </xdr:to>
    <xdr:sp macro="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5687B696-4E46-41A6-9FC9-F58B9342097E}"/>
            </a:ext>
          </a:extLst>
        </xdr:cNvPr>
        <xdr:cNvSpPr/>
      </xdr:nvSpPr>
      <xdr:spPr>
        <a:xfrm>
          <a:off x="11332771" y="6618687"/>
          <a:ext cx="4378778" cy="5396049"/>
        </a:xfrm>
        <a:prstGeom prst="roundRect">
          <a:avLst>
            <a:gd name="adj" fmla="val 6599"/>
          </a:avLst>
        </a:prstGeom>
        <a:solidFill>
          <a:schemeClr val="bg1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20</xdr:col>
      <xdr:colOff>299219</xdr:colOff>
      <xdr:row>39</xdr:row>
      <xdr:rowOff>70746</xdr:rowOff>
    </xdr:from>
    <xdr:to>
      <xdr:col>23</xdr:col>
      <xdr:colOff>532302</xdr:colOff>
      <xdr:row>41</xdr:row>
      <xdr:rowOff>66879</xdr:rowOff>
    </xdr:to>
    <xdr:sp macro="" textlink="">
      <xdr:nvSpPr>
        <xdr:cNvPr id="204" name="CasellaDiTesto 203">
          <a:extLst>
            <a:ext uri="{FF2B5EF4-FFF2-40B4-BE49-F238E27FC236}">
              <a16:creationId xmlns:a16="http://schemas.microsoft.com/office/drawing/2014/main" id="{E6E28F21-8CBF-42CF-93A8-4BECD5217454}"/>
            </a:ext>
          </a:extLst>
        </xdr:cNvPr>
        <xdr:cNvSpPr txBox="1"/>
      </xdr:nvSpPr>
      <xdr:spPr>
        <a:xfrm>
          <a:off x="12491219" y="7063217"/>
          <a:ext cx="2061883" cy="354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it-IT" sz="2400" b="1">
              <a:solidFill>
                <a:srgbClr val="FF0000"/>
              </a:solidFill>
            </a:rPr>
            <a:t>PORTAFOGLIO</a:t>
          </a:r>
        </a:p>
      </xdr:txBody>
    </xdr:sp>
    <xdr:clientData/>
  </xdr:twoCellAnchor>
  <xdr:twoCellAnchor>
    <xdr:from>
      <xdr:col>20</xdr:col>
      <xdr:colOff>218080</xdr:colOff>
      <xdr:row>45</xdr:row>
      <xdr:rowOff>149589</xdr:rowOff>
    </xdr:from>
    <xdr:to>
      <xdr:col>21</xdr:col>
      <xdr:colOff>509372</xdr:colOff>
      <xdr:row>48</xdr:row>
      <xdr:rowOff>163639</xdr:rowOff>
    </xdr:to>
    <xdr:grpSp>
      <xdr:nvGrpSpPr>
        <xdr:cNvPr id="2051" name="Gruppo 2050">
          <a:extLst>
            <a:ext uri="{FF2B5EF4-FFF2-40B4-BE49-F238E27FC236}">
              <a16:creationId xmlns:a16="http://schemas.microsoft.com/office/drawing/2014/main" id="{2DF09968-754B-4426-9FE5-14F4819B5A70}"/>
            </a:ext>
          </a:extLst>
        </xdr:cNvPr>
        <xdr:cNvGrpSpPr/>
      </xdr:nvGrpSpPr>
      <xdr:grpSpPr>
        <a:xfrm>
          <a:off x="12410080" y="8531589"/>
          <a:ext cx="900892" cy="572850"/>
          <a:chOff x="13329805" y="9805175"/>
          <a:chExt cx="900892" cy="561373"/>
        </a:xfrm>
      </xdr:grpSpPr>
      <xdr:sp macro="" textlink="">
        <xdr:nvSpPr>
          <xdr:cNvPr id="2052" name="CasellaDiTesto 2051">
            <a:extLst>
              <a:ext uri="{FF2B5EF4-FFF2-40B4-BE49-F238E27FC236}">
                <a16:creationId xmlns:a16="http://schemas.microsoft.com/office/drawing/2014/main" id="{37741E01-6358-A22F-F67E-B1AE57A23B88}"/>
              </a:ext>
            </a:extLst>
          </xdr:cNvPr>
          <xdr:cNvSpPr txBox="1"/>
        </xdr:nvSpPr>
        <xdr:spPr>
          <a:xfrm>
            <a:off x="13329805" y="9805175"/>
            <a:ext cx="900892" cy="3298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200" b="1">
                <a:solidFill>
                  <a:srgbClr val="FF0000"/>
                </a:solidFill>
              </a:rPr>
              <a:t>RISPARMI</a:t>
            </a:r>
          </a:p>
        </xdr:txBody>
      </xdr:sp>
      <xdr:sp macro="" textlink="CALCOLI!S21">
        <xdr:nvSpPr>
          <xdr:cNvPr id="2053" name="CasellaDiTesto 2052">
            <a:extLst>
              <a:ext uri="{FF2B5EF4-FFF2-40B4-BE49-F238E27FC236}">
                <a16:creationId xmlns:a16="http://schemas.microsoft.com/office/drawing/2014/main" id="{6406BF4C-25BE-5149-AD76-FBBD00A5A4B9}"/>
              </a:ext>
            </a:extLst>
          </xdr:cNvPr>
          <xdr:cNvSpPr txBox="1"/>
        </xdr:nvSpPr>
        <xdr:spPr>
          <a:xfrm>
            <a:off x="13373568" y="10055768"/>
            <a:ext cx="813366" cy="3107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B61F811-348E-423C-8AC1-BE867A89E91C}" type="TxLink">
              <a:rPr lang="en-US" sz="2000" b="1" i="0" u="none" strike="noStrike">
                <a:solidFill>
                  <a:srgbClr val="000000"/>
                </a:solidFill>
                <a:latin typeface="Aptos Narrow (Corpo)"/>
                <a:cs typeface="Calibri"/>
              </a:rPr>
              <a:pPr algn="ctr"/>
              <a:t>6%</a:t>
            </a:fld>
            <a:endParaRPr lang="it-IT" sz="2000" b="1" u="none">
              <a:latin typeface="Aptos Narrow (Corpo)"/>
            </a:endParaRPr>
          </a:p>
        </xdr:txBody>
      </xdr:sp>
    </xdr:grpSp>
    <xdr:clientData/>
  </xdr:twoCellAnchor>
  <xdr:twoCellAnchor>
    <xdr:from>
      <xdr:col>22</xdr:col>
      <xdr:colOff>88769</xdr:colOff>
      <xdr:row>45</xdr:row>
      <xdr:rowOff>149590</xdr:rowOff>
    </xdr:from>
    <xdr:to>
      <xdr:col>24</xdr:col>
      <xdr:colOff>3840</xdr:colOff>
      <xdr:row>48</xdr:row>
      <xdr:rowOff>163639</xdr:rowOff>
    </xdr:to>
    <xdr:grpSp>
      <xdr:nvGrpSpPr>
        <xdr:cNvPr id="99" name="Gruppo 98">
          <a:extLst>
            <a:ext uri="{FF2B5EF4-FFF2-40B4-BE49-F238E27FC236}">
              <a16:creationId xmlns:a16="http://schemas.microsoft.com/office/drawing/2014/main" id="{D503D397-92F3-8648-833F-9E74915FD9F4}"/>
            </a:ext>
          </a:extLst>
        </xdr:cNvPr>
        <xdr:cNvGrpSpPr/>
      </xdr:nvGrpSpPr>
      <xdr:grpSpPr>
        <a:xfrm>
          <a:off x="13499969" y="8531590"/>
          <a:ext cx="1134271" cy="572849"/>
          <a:chOff x="13289940" y="7944731"/>
          <a:chExt cx="1134271" cy="551868"/>
        </a:xfrm>
      </xdr:grpSpPr>
      <xdr:sp macro="" textlink="">
        <xdr:nvSpPr>
          <xdr:cNvPr id="42" name="CasellaDiTesto 41">
            <a:extLst>
              <a:ext uri="{FF2B5EF4-FFF2-40B4-BE49-F238E27FC236}">
                <a16:creationId xmlns:a16="http://schemas.microsoft.com/office/drawing/2014/main" id="{FD7424CB-F9A5-C758-B2D0-A892F8E8EFBD}"/>
              </a:ext>
            </a:extLst>
          </xdr:cNvPr>
          <xdr:cNvSpPr txBox="1"/>
        </xdr:nvSpPr>
        <xdr:spPr>
          <a:xfrm>
            <a:off x="13289940" y="7944731"/>
            <a:ext cx="1134271" cy="3242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1200" b="1">
                <a:solidFill>
                  <a:srgbClr val="FF0000"/>
                </a:solidFill>
              </a:rPr>
              <a:t>INVESTIMENTI</a:t>
            </a:r>
          </a:p>
        </xdr:txBody>
      </xdr:sp>
      <xdr:sp macro="" textlink="CALCOLI!S22">
        <xdr:nvSpPr>
          <xdr:cNvPr id="86" name="CasellaDiTesto 85">
            <a:extLst>
              <a:ext uri="{FF2B5EF4-FFF2-40B4-BE49-F238E27FC236}">
                <a16:creationId xmlns:a16="http://schemas.microsoft.com/office/drawing/2014/main" id="{F9AE5065-714E-9815-0764-AFDECD18E84C}"/>
              </a:ext>
            </a:extLst>
          </xdr:cNvPr>
          <xdr:cNvSpPr txBox="1"/>
        </xdr:nvSpPr>
        <xdr:spPr>
          <a:xfrm>
            <a:off x="13450392" y="8191080"/>
            <a:ext cx="813366" cy="3055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84DDB7E-77E3-4018-B18D-37BAA444AC82}" type="TxLink">
              <a:rPr lang="en-US" sz="2000" b="1" i="0" u="none" strike="noStrike">
                <a:solidFill>
                  <a:srgbClr val="000000"/>
                </a:solidFill>
                <a:latin typeface="Aptos Narrow (Corpo)"/>
                <a:cs typeface="Calibri"/>
              </a:rPr>
              <a:pPr algn="ctr"/>
              <a:t>0%</a:t>
            </a:fld>
            <a:endParaRPr lang="it-IT" sz="2000" b="1" u="none">
              <a:latin typeface="Aptos Narrow (Corpo)"/>
            </a:endParaRPr>
          </a:p>
        </xdr:txBody>
      </xdr:sp>
    </xdr:grpSp>
    <xdr:clientData/>
  </xdr:twoCellAnchor>
  <xdr:twoCellAnchor>
    <xdr:from>
      <xdr:col>19</xdr:col>
      <xdr:colOff>459079</xdr:colOff>
      <xdr:row>49</xdr:row>
      <xdr:rowOff>26444</xdr:rowOff>
    </xdr:from>
    <xdr:to>
      <xdr:col>24</xdr:col>
      <xdr:colOff>372442</xdr:colOff>
      <xdr:row>62</xdr:row>
      <xdr:rowOff>91796</xdr:rowOff>
    </xdr:to>
    <xdr:graphicFrame macro="">
      <xdr:nvGraphicFramePr>
        <xdr:cNvPr id="191" name="Grafico 190">
          <a:extLst>
            <a:ext uri="{FF2B5EF4-FFF2-40B4-BE49-F238E27FC236}">
              <a16:creationId xmlns:a16="http://schemas.microsoft.com/office/drawing/2014/main" id="{490A3B42-0B63-49DD-9748-6C68DC682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15107</xdr:colOff>
      <xdr:row>53</xdr:row>
      <xdr:rowOff>135877</xdr:rowOff>
    </xdr:from>
    <xdr:to>
      <xdr:col>23</xdr:col>
      <xdr:colOff>206814</xdr:colOff>
      <xdr:row>57</xdr:row>
      <xdr:rowOff>161654</xdr:rowOff>
    </xdr:to>
    <xdr:grpSp>
      <xdr:nvGrpSpPr>
        <xdr:cNvPr id="105" name="Gruppo 104">
          <a:extLst>
            <a:ext uri="{FF2B5EF4-FFF2-40B4-BE49-F238E27FC236}">
              <a16:creationId xmlns:a16="http://schemas.microsoft.com/office/drawing/2014/main" id="{9E053B1E-3740-815D-55BF-37C51CC1986F}"/>
            </a:ext>
          </a:extLst>
        </xdr:cNvPr>
        <xdr:cNvGrpSpPr/>
      </xdr:nvGrpSpPr>
      <xdr:grpSpPr>
        <a:xfrm>
          <a:off x="12816707" y="10008010"/>
          <a:ext cx="1410907" cy="770844"/>
          <a:chOff x="13025460" y="9738832"/>
          <a:chExt cx="1410907" cy="768374"/>
        </a:xfrm>
      </xdr:grpSpPr>
      <xdr:sp macro="" textlink="CALCOLI!P21">
        <xdr:nvSpPr>
          <xdr:cNvPr id="2056" name="CasellaDiTesto 2055">
            <a:extLst>
              <a:ext uri="{FF2B5EF4-FFF2-40B4-BE49-F238E27FC236}">
                <a16:creationId xmlns:a16="http://schemas.microsoft.com/office/drawing/2014/main" id="{CB736B18-9D49-4252-A1FD-B0B6D607D54A}"/>
              </a:ext>
            </a:extLst>
          </xdr:cNvPr>
          <xdr:cNvSpPr txBox="1"/>
        </xdr:nvSpPr>
        <xdr:spPr>
          <a:xfrm>
            <a:off x="13025460" y="9950471"/>
            <a:ext cx="1410907" cy="5567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3FC4379-BC24-4A4B-8FB4-5DAB6E97FD3C}" type="TxLink">
              <a:rPr lang="en-US" sz="2400" b="1" i="0" u="none" strike="noStrike">
                <a:solidFill>
                  <a:schemeClr val="accent6">
                    <a:lumMod val="75000"/>
                  </a:schemeClr>
                </a:solidFill>
                <a:latin typeface="Aptos Narrow (Corpo)"/>
              </a:rPr>
              <a:pPr algn="ctr"/>
              <a:t>1.664,30 €</a:t>
            </a:fld>
            <a:endParaRPr lang="it-IT" sz="2400" b="1" u="none">
              <a:solidFill>
                <a:schemeClr val="accent6">
                  <a:lumMod val="75000"/>
                </a:schemeClr>
              </a:solidFill>
              <a:latin typeface="Aptos Narrow (Corpo)"/>
            </a:endParaRPr>
          </a:p>
        </xdr:txBody>
      </xdr:sp>
      <xdr:sp macro="" textlink="">
        <xdr:nvSpPr>
          <xdr:cNvPr id="103" name="CasellaDiTesto 102">
            <a:extLst>
              <a:ext uri="{FF2B5EF4-FFF2-40B4-BE49-F238E27FC236}">
                <a16:creationId xmlns:a16="http://schemas.microsoft.com/office/drawing/2014/main" id="{D48E7103-F601-4167-9A19-D58E13C75100}"/>
              </a:ext>
            </a:extLst>
          </xdr:cNvPr>
          <xdr:cNvSpPr txBox="1"/>
        </xdr:nvSpPr>
        <xdr:spPr>
          <a:xfrm>
            <a:off x="13070238" y="9738832"/>
            <a:ext cx="1321351" cy="366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it-IT" sz="2400" b="1">
                <a:solidFill>
                  <a:schemeClr val="accent6">
                    <a:lumMod val="75000"/>
                  </a:schemeClr>
                </a:solidFill>
              </a:rPr>
              <a:t>ENTRATE</a:t>
            </a:r>
          </a:p>
        </xdr:txBody>
      </xdr:sp>
    </xdr:grpSp>
    <xdr:clientData/>
  </xdr:twoCellAnchor>
  <xdr:twoCellAnchor>
    <xdr:from>
      <xdr:col>45</xdr:col>
      <xdr:colOff>171450</xdr:colOff>
      <xdr:row>2</xdr:row>
      <xdr:rowOff>29441</xdr:rowOff>
    </xdr:from>
    <xdr:to>
      <xdr:col>62</xdr:col>
      <xdr:colOff>462395</xdr:colOff>
      <xdr:row>27</xdr:row>
      <xdr:rowOff>0</xdr:rowOff>
    </xdr:to>
    <xdr:sp macro="" textlink="">
      <xdr:nvSpPr>
        <xdr:cNvPr id="76" name="Rettangolo con angoli arrotondati 75">
          <a:extLst>
            <a:ext uri="{FF2B5EF4-FFF2-40B4-BE49-F238E27FC236}">
              <a16:creationId xmlns:a16="http://schemas.microsoft.com/office/drawing/2014/main" id="{3D1C1BBE-1157-47DA-849B-323A5FDCD1AB}"/>
            </a:ext>
          </a:extLst>
        </xdr:cNvPr>
        <xdr:cNvSpPr/>
      </xdr:nvSpPr>
      <xdr:spPr>
        <a:xfrm>
          <a:off x="27603450" y="410441"/>
          <a:ext cx="10654145" cy="4733059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27</xdr:col>
      <xdr:colOff>149803</xdr:colOff>
      <xdr:row>2</xdr:row>
      <xdr:rowOff>29440</xdr:rowOff>
    </xdr:from>
    <xdr:to>
      <xdr:col>44</xdr:col>
      <xdr:colOff>440748</xdr:colOff>
      <xdr:row>68</xdr:row>
      <xdr:rowOff>109105</xdr:rowOff>
    </xdr:to>
    <xdr:sp macro="" textlink="">
      <xdr:nvSpPr>
        <xdr:cNvPr id="104" name="Rettangolo con angoli arrotondati 103">
          <a:extLst>
            <a:ext uri="{FF2B5EF4-FFF2-40B4-BE49-F238E27FC236}">
              <a16:creationId xmlns:a16="http://schemas.microsoft.com/office/drawing/2014/main" id="{E3D83BB6-A3A5-4A2D-AE34-70DEEE162CB6}"/>
            </a:ext>
          </a:extLst>
        </xdr:cNvPr>
        <xdr:cNvSpPr/>
      </xdr:nvSpPr>
      <xdr:spPr>
        <a:xfrm>
          <a:off x="16609003" y="410440"/>
          <a:ext cx="10654145" cy="12652665"/>
        </a:xfrm>
        <a:prstGeom prst="roundRect">
          <a:avLst>
            <a:gd name="adj" fmla="val 10134"/>
          </a:avLst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30</xdr:col>
      <xdr:colOff>454602</xdr:colOff>
      <xdr:row>6</xdr:row>
      <xdr:rowOff>148957</xdr:rowOff>
    </xdr:from>
    <xdr:to>
      <xdr:col>41</xdr:col>
      <xdr:colOff>135948</xdr:colOff>
      <xdr:row>11</xdr:row>
      <xdr:rowOff>110101</xdr:rowOff>
    </xdr:to>
    <xdr:sp macro="" textlink="IMPOSTAZIONI!E5">
      <xdr:nvSpPr>
        <xdr:cNvPr id="106" name="CasellaDiTesto 105">
          <a:extLst>
            <a:ext uri="{FF2B5EF4-FFF2-40B4-BE49-F238E27FC236}">
              <a16:creationId xmlns:a16="http://schemas.microsoft.com/office/drawing/2014/main" id="{17B8A419-9D3D-407E-A4E8-C2F8EBF227C6}"/>
            </a:ext>
          </a:extLst>
        </xdr:cNvPr>
        <xdr:cNvSpPr txBox="1"/>
      </xdr:nvSpPr>
      <xdr:spPr>
        <a:xfrm>
          <a:off x="18742602" y="1291957"/>
          <a:ext cx="6386946" cy="9136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9AE2D0-087C-437C-8730-D7097C33AE9D}" type="TxLink">
            <a:rPr lang="en-US" sz="6000" b="1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2025</a:t>
          </a:fld>
          <a:endParaRPr lang="en-US" sz="6000" b="1" i="0" u="none" strike="noStrike">
            <a:solidFill>
              <a:srgbClr val="000000"/>
            </a:solidFill>
            <a:latin typeface="+mn-lt"/>
            <a:cs typeface="Calibri"/>
          </a:endParaRPr>
        </a:p>
      </xdr:txBody>
    </xdr:sp>
    <xdr:clientData/>
  </xdr:twoCellAnchor>
  <xdr:twoCellAnchor>
    <xdr:from>
      <xdr:col>28</xdr:col>
      <xdr:colOff>35241</xdr:colOff>
      <xdr:row>13</xdr:row>
      <xdr:rowOff>36116</xdr:rowOff>
    </xdr:from>
    <xdr:to>
      <xdr:col>32</xdr:col>
      <xdr:colOff>575084</xdr:colOff>
      <xdr:row>22</xdr:row>
      <xdr:rowOff>75252</xdr:rowOff>
    </xdr:to>
    <xdr:grpSp>
      <xdr:nvGrpSpPr>
        <xdr:cNvPr id="108" name="Gruppo 107">
          <a:extLst>
            <a:ext uri="{FF2B5EF4-FFF2-40B4-BE49-F238E27FC236}">
              <a16:creationId xmlns:a16="http://schemas.microsoft.com/office/drawing/2014/main" id="{B9885D8A-1463-BC8F-9748-FCA7E49BEEA1}"/>
            </a:ext>
          </a:extLst>
        </xdr:cNvPr>
        <xdr:cNvGrpSpPr/>
      </xdr:nvGrpSpPr>
      <xdr:grpSpPr>
        <a:xfrm>
          <a:off x="17104041" y="2457583"/>
          <a:ext cx="2978243" cy="1715536"/>
          <a:chOff x="6939617" y="2934514"/>
          <a:chExt cx="2942384" cy="1637486"/>
        </a:xfrm>
      </xdr:grpSpPr>
      <xdr:sp macro="" textlink="">
        <xdr:nvSpPr>
          <xdr:cNvPr id="2067" name="Rettangolo con angoli arrotondati 2066">
            <a:extLst>
              <a:ext uri="{FF2B5EF4-FFF2-40B4-BE49-F238E27FC236}">
                <a16:creationId xmlns:a16="http://schemas.microsoft.com/office/drawing/2014/main" id="{2760E046-02BF-EF41-A8FF-EC339F6D05FF}"/>
              </a:ext>
            </a:extLst>
          </xdr:cNvPr>
          <xdr:cNvSpPr/>
        </xdr:nvSpPr>
        <xdr:spPr>
          <a:xfrm>
            <a:off x="6939617" y="2934514"/>
            <a:ext cx="2942384" cy="1637486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68" name="Gruppo 2067">
            <a:extLst>
              <a:ext uri="{FF2B5EF4-FFF2-40B4-BE49-F238E27FC236}">
                <a16:creationId xmlns:a16="http://schemas.microsoft.com/office/drawing/2014/main" id="{CE2CF1D8-36CC-1955-53D4-1B2700FAB662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</xdr:grpSpPr>
        <xdr:grpSp>
          <xdr:nvGrpSpPr>
            <xdr:cNvPr id="2069" name="Gruppo 2068">
              <a:extLst>
                <a:ext uri="{FF2B5EF4-FFF2-40B4-BE49-F238E27FC236}">
                  <a16:creationId xmlns:a16="http://schemas.microsoft.com/office/drawing/2014/main" id="{668E852E-458A-9DC4-C2C8-B7CE5B04CA3A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</xdr:grpSpPr>
          <xdr:sp macro="" textlink="">
            <xdr:nvSpPr>
              <xdr:cNvPr id="2077" name="CasellaDiTesto 2076">
                <a:extLst>
                  <a:ext uri="{FF2B5EF4-FFF2-40B4-BE49-F238E27FC236}">
                    <a16:creationId xmlns:a16="http://schemas.microsoft.com/office/drawing/2014/main" id="{4EB15E05-5D79-76D5-2F88-BFF551FA3C77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6">
                        <a:lumMod val="75000"/>
                      </a:schemeClr>
                    </a:solidFill>
                  </a:rPr>
                  <a:t>ENTRATE</a:t>
                </a:r>
              </a:p>
            </xdr:txBody>
          </xdr:sp>
          <xdr:sp macro="" textlink="CALCOLI!P37">
            <xdr:nvSpPr>
              <xdr:cNvPr id="2078" name="CasellaDiTesto 2077">
                <a:extLst>
                  <a:ext uri="{FF2B5EF4-FFF2-40B4-BE49-F238E27FC236}">
                    <a16:creationId xmlns:a16="http://schemas.microsoft.com/office/drawing/2014/main" id="{DB90954E-9852-EA3E-B992-7910DF26A473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2B27F7C-3A41-4045-9C69-79E178F3C6C6}" type="TxLink">
                  <a:rPr lang="en-US" sz="3600" b="1" i="0" u="none" strike="noStrike">
                    <a:solidFill>
                      <a:schemeClr val="accent6">
                        <a:lumMod val="75000"/>
                      </a:schemeClr>
                    </a:solidFill>
                    <a:latin typeface="Aptos Narrow"/>
                  </a:rPr>
                  <a:pPr algn="ctr"/>
                  <a:t>2.452,34 €</a:t>
                </a:fld>
                <a:endParaRPr lang="it-IT" sz="3600" b="1" u="none">
                  <a:solidFill>
                    <a:schemeClr val="accent6">
                      <a:lumMod val="75000"/>
                    </a:schemeClr>
                  </a:solidFill>
                </a:endParaRPr>
              </a:p>
            </xdr:txBody>
          </xdr:sp>
        </xdr:grpSp>
        <xdr:grpSp>
          <xdr:nvGrpSpPr>
            <xdr:cNvPr id="2070" name="Gruppo 2069">
              <a:extLst>
                <a:ext uri="{FF2B5EF4-FFF2-40B4-BE49-F238E27FC236}">
                  <a16:creationId xmlns:a16="http://schemas.microsoft.com/office/drawing/2014/main" id="{E42CDB86-C72C-4BC7-080D-61C7E00810FD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</xdr:grpSpPr>
          <xdr:grpSp>
            <xdr:nvGrpSpPr>
              <xdr:cNvPr id="2071" name="Gruppo 2070">
                <a:extLst>
                  <a:ext uri="{FF2B5EF4-FFF2-40B4-BE49-F238E27FC236}">
                    <a16:creationId xmlns:a16="http://schemas.microsoft.com/office/drawing/2014/main" id="{7F2D2F20-F5FF-6910-46B9-B4865E12623E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</xdr:grpSpPr>
            <xdr:sp macro="" textlink="">
              <xdr:nvSpPr>
                <xdr:cNvPr id="2075" name="CasellaDiTesto 2074">
                  <a:extLst>
                    <a:ext uri="{FF2B5EF4-FFF2-40B4-BE49-F238E27FC236}">
                      <a16:creationId xmlns:a16="http://schemas.microsoft.com/office/drawing/2014/main" id="{DF9FF2AF-CE62-75B7-5042-7A5C6FD790BD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STIPENDIO</a:t>
                  </a:r>
                </a:p>
              </xdr:txBody>
            </xdr:sp>
            <xdr:sp macro="" textlink="CALCOLI!M37">
              <xdr:nvSpPr>
                <xdr:cNvPr id="2076" name="CasellaDiTesto 2075">
                  <a:extLst>
                    <a:ext uri="{FF2B5EF4-FFF2-40B4-BE49-F238E27FC236}">
                      <a16:creationId xmlns:a16="http://schemas.microsoft.com/office/drawing/2014/main" id="{2AC2C84E-72F3-BDA1-9D22-60D47CC17E5D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C4E02E0-8755-418B-9FF0-D9A03DE37D59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</a:rPr>
                    <a:pPr algn="ctr"/>
                    <a:t>2.345,30 €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  <xdr:grpSp>
            <xdr:nvGrpSpPr>
              <xdr:cNvPr id="2072" name="Gruppo 2071">
                <a:extLst>
                  <a:ext uri="{FF2B5EF4-FFF2-40B4-BE49-F238E27FC236}">
                    <a16:creationId xmlns:a16="http://schemas.microsoft.com/office/drawing/2014/main" id="{3AA6FA7D-7DC9-06AC-1715-7901C16C7B77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</xdr:grpSpPr>
            <xdr:sp macro="" textlink="">
              <xdr:nvSpPr>
                <xdr:cNvPr id="2073" name="CasellaDiTesto 2072">
                  <a:extLst>
                    <a:ext uri="{FF2B5EF4-FFF2-40B4-BE49-F238E27FC236}">
                      <a16:creationId xmlns:a16="http://schemas.microsoft.com/office/drawing/2014/main" id="{ED001082-0EFB-4E4E-05CF-DC04CF1F764C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ALTRO</a:t>
                  </a:r>
                </a:p>
              </xdr:txBody>
            </xdr:sp>
            <xdr:sp macro="" textlink="CALCOLI!N37">
              <xdr:nvSpPr>
                <xdr:cNvPr id="2074" name="CasellaDiTesto 2073">
                  <a:extLst>
                    <a:ext uri="{FF2B5EF4-FFF2-40B4-BE49-F238E27FC236}">
                      <a16:creationId xmlns:a16="http://schemas.microsoft.com/office/drawing/2014/main" id="{20C2A26B-DDE5-691D-0080-DF4535675894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13D58577-720B-4271-9654-E4CFED92642D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107,04 €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28</xdr:col>
      <xdr:colOff>35241</xdr:colOff>
      <xdr:row>23</xdr:row>
      <xdr:rowOff>173840</xdr:rowOff>
    </xdr:from>
    <xdr:to>
      <xdr:col>32</xdr:col>
      <xdr:colOff>575084</xdr:colOff>
      <xdr:row>33</xdr:row>
      <xdr:rowOff>33205</xdr:rowOff>
    </xdr:to>
    <xdr:grpSp>
      <xdr:nvGrpSpPr>
        <xdr:cNvPr id="109" name="Gruppo 108">
          <a:extLst>
            <a:ext uri="{FF2B5EF4-FFF2-40B4-BE49-F238E27FC236}">
              <a16:creationId xmlns:a16="http://schemas.microsoft.com/office/drawing/2014/main" id="{8C81D825-CEE6-6D2C-2C5B-2D374A67DE99}"/>
            </a:ext>
          </a:extLst>
        </xdr:cNvPr>
        <xdr:cNvGrpSpPr/>
      </xdr:nvGrpSpPr>
      <xdr:grpSpPr>
        <a:xfrm>
          <a:off x="17104041" y="4457973"/>
          <a:ext cx="2978243" cy="1722032"/>
          <a:chOff x="5572992" y="5048497"/>
          <a:chExt cx="2978243" cy="1700273"/>
        </a:xfrm>
        <a:solidFill>
          <a:schemeClr val="bg1"/>
        </a:solidFill>
      </xdr:grpSpPr>
      <xdr:sp macro="" textlink="">
        <xdr:nvSpPr>
          <xdr:cNvPr id="2060" name="Rettangolo con angoli arrotondati 2059">
            <a:extLst>
              <a:ext uri="{FF2B5EF4-FFF2-40B4-BE49-F238E27FC236}">
                <a16:creationId xmlns:a16="http://schemas.microsoft.com/office/drawing/2014/main" id="{E555BD37-764E-4098-905A-D62196DB0965}"/>
              </a:ext>
            </a:extLst>
          </xdr:cNvPr>
          <xdr:cNvSpPr/>
        </xdr:nvSpPr>
        <xdr:spPr>
          <a:xfrm>
            <a:off x="5572992" y="5048497"/>
            <a:ext cx="2978243" cy="1700273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61" name="Gruppo 2060">
            <a:extLst>
              <a:ext uri="{FF2B5EF4-FFF2-40B4-BE49-F238E27FC236}">
                <a16:creationId xmlns:a16="http://schemas.microsoft.com/office/drawing/2014/main" id="{CE00E3AC-14F9-FDD4-7182-06D7097FED38}"/>
              </a:ext>
            </a:extLst>
          </xdr:cNvPr>
          <xdr:cNvGrpSpPr/>
        </xdr:nvGrpSpPr>
        <xdr:grpSpPr>
          <a:xfrm>
            <a:off x="5847465" y="5166715"/>
            <a:ext cx="2354749" cy="837551"/>
            <a:chOff x="7204939" y="3073252"/>
            <a:chExt cx="2327034" cy="817982"/>
          </a:xfrm>
          <a:grpFill/>
        </xdr:grpSpPr>
        <xdr:sp macro="" textlink="">
          <xdr:nvSpPr>
            <xdr:cNvPr id="2065" name="CasellaDiTesto 2064">
              <a:extLst>
                <a:ext uri="{FF2B5EF4-FFF2-40B4-BE49-F238E27FC236}">
                  <a16:creationId xmlns:a16="http://schemas.microsoft.com/office/drawing/2014/main" id="{DCD2D759-ADA2-9118-EB99-F172525484B1}"/>
                </a:ext>
              </a:extLst>
            </xdr:cNvPr>
            <xdr:cNvSpPr txBox="1"/>
          </xdr:nvSpPr>
          <xdr:spPr>
            <a:xfrm>
              <a:off x="7204941" y="3073252"/>
              <a:ext cx="2327032" cy="41201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2">
                      <a:lumMod val="75000"/>
                    </a:schemeClr>
                  </a:solidFill>
                </a:rPr>
                <a:t>GIACENZA</a:t>
              </a:r>
            </a:p>
          </xdr:txBody>
        </xdr:sp>
        <xdr:sp macro="" textlink="CALCOLI!R42">
          <xdr:nvSpPr>
            <xdr:cNvPr id="2066" name="CasellaDiTesto 2065">
              <a:extLst>
                <a:ext uri="{FF2B5EF4-FFF2-40B4-BE49-F238E27FC236}">
                  <a16:creationId xmlns:a16="http://schemas.microsoft.com/office/drawing/2014/main" id="{F5997CC8-D29B-E5E3-DE51-3482DC5A94A8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30A887-403C-4E69-B167-1ABFC071CD6B}" type="TxLink">
                <a:rPr lang="en-US" sz="3600" b="1" i="0" u="none" strike="noStrike">
                  <a:solidFill>
                    <a:schemeClr val="accent2">
                      <a:lumMod val="75000"/>
                    </a:schemeClr>
                  </a:solidFill>
                  <a:latin typeface="+mn-lt"/>
                  <a:cs typeface="Calibri"/>
                </a:rPr>
                <a:pPr algn="ctr"/>
                <a:t>224,35 €</a:t>
              </a:fld>
              <a:endParaRPr lang="it-IT" sz="3600" b="1" u="none">
                <a:solidFill>
                  <a:schemeClr val="accent2">
                    <a:lumMod val="75000"/>
                  </a:schemeClr>
                </a:solidFill>
                <a:latin typeface="+mn-lt"/>
              </a:endParaRPr>
            </a:p>
          </xdr:txBody>
        </xdr:sp>
      </xdr:grpSp>
      <xdr:grpSp>
        <xdr:nvGrpSpPr>
          <xdr:cNvPr id="2062" name="Gruppo 2061">
            <a:extLst>
              <a:ext uri="{FF2B5EF4-FFF2-40B4-BE49-F238E27FC236}">
                <a16:creationId xmlns:a16="http://schemas.microsoft.com/office/drawing/2014/main" id="{7E687EE2-8930-E4D2-B190-A015E5F98C0D}"/>
              </a:ext>
            </a:extLst>
          </xdr:cNvPr>
          <xdr:cNvGrpSpPr/>
        </xdr:nvGrpSpPr>
        <xdr:grpSpPr>
          <a:xfrm>
            <a:off x="6248513" y="6023230"/>
            <a:ext cx="1552653" cy="600392"/>
            <a:chOff x="5786496" y="6038375"/>
            <a:chExt cx="1552653" cy="601812"/>
          </a:xfrm>
          <a:grpFill/>
        </xdr:grpSpPr>
        <xdr:sp macro="" textlink="">
          <xdr:nvSpPr>
            <xdr:cNvPr id="2063" name="CasellaDiTesto 2062">
              <a:extLst>
                <a:ext uri="{FF2B5EF4-FFF2-40B4-BE49-F238E27FC236}">
                  <a16:creationId xmlns:a16="http://schemas.microsoft.com/office/drawing/2014/main" id="{0CF844A1-D34C-57A7-5A09-3465592ED8CC}"/>
                </a:ext>
              </a:extLst>
            </xdr:cNvPr>
            <xdr:cNvSpPr txBox="1"/>
          </xdr:nvSpPr>
          <xdr:spPr>
            <a:xfrm>
              <a:off x="5931241" y="6038375"/>
              <a:ext cx="1178550" cy="35620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/>
                <a:t>DISPONIBILITÀ</a:t>
              </a:r>
            </a:p>
          </xdr:txBody>
        </xdr:sp>
        <xdr:sp macro="" textlink="CALCOLI!R44">
          <xdr:nvSpPr>
            <xdr:cNvPr id="2064" name="CasellaDiTesto 2063">
              <a:extLst>
                <a:ext uri="{FF2B5EF4-FFF2-40B4-BE49-F238E27FC236}">
                  <a16:creationId xmlns:a16="http://schemas.microsoft.com/office/drawing/2014/main" id="{ACE8755E-F384-8224-6581-11ED3A2B15DB}"/>
                </a:ext>
              </a:extLst>
            </xdr:cNvPr>
            <xdr:cNvSpPr txBox="1"/>
          </xdr:nvSpPr>
          <xdr:spPr>
            <a:xfrm>
              <a:off x="5786496" y="6314636"/>
              <a:ext cx="1552653" cy="325551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F61D8C0C-6CC6-4BD2-9BC7-65FDD6B4AB03}" type="TxLink">
                <a:rPr lang="en-US" sz="2000" b="1" i="0" u="none" strike="noStrike">
                  <a:solidFill>
                    <a:srgbClr val="000000"/>
                  </a:solidFill>
                  <a:latin typeface="+mn-lt"/>
                  <a:cs typeface="Calibri"/>
                </a:rPr>
                <a:pPr algn="ctr"/>
                <a:t>324,35 €</a:t>
              </a:fld>
              <a:endParaRPr lang="it-IT" sz="2000" b="1" u="none">
                <a:latin typeface="+mn-lt"/>
              </a:endParaRPr>
            </a:p>
          </xdr:txBody>
        </xdr:sp>
      </xdr:grpSp>
    </xdr:grpSp>
    <xdr:clientData/>
  </xdr:twoCellAnchor>
  <xdr:twoCellAnchor>
    <xdr:from>
      <xdr:col>39</xdr:col>
      <xdr:colOff>51326</xdr:colOff>
      <xdr:row>13</xdr:row>
      <xdr:rowOff>36116</xdr:rowOff>
    </xdr:from>
    <xdr:to>
      <xdr:col>43</xdr:col>
      <xdr:colOff>555310</xdr:colOff>
      <xdr:row>22</xdr:row>
      <xdr:rowOff>41200</xdr:rowOff>
    </xdr:to>
    <xdr:grpSp>
      <xdr:nvGrpSpPr>
        <xdr:cNvPr id="110" name="Gruppo 109">
          <a:extLst>
            <a:ext uri="{FF2B5EF4-FFF2-40B4-BE49-F238E27FC236}">
              <a16:creationId xmlns:a16="http://schemas.microsoft.com/office/drawing/2014/main" id="{DDA580A7-67C5-D833-C8E5-E5C17CCA2D82}"/>
            </a:ext>
          </a:extLst>
        </xdr:cNvPr>
        <xdr:cNvGrpSpPr/>
      </xdr:nvGrpSpPr>
      <xdr:grpSpPr>
        <a:xfrm>
          <a:off x="23825726" y="2457583"/>
          <a:ext cx="2942384" cy="1681484"/>
          <a:chOff x="6972284" y="4881345"/>
          <a:chExt cx="2945586" cy="1695117"/>
        </a:xfrm>
        <a:solidFill>
          <a:schemeClr val="bg1"/>
        </a:solidFill>
      </xdr:grpSpPr>
      <xdr:sp macro="" textlink="">
        <xdr:nvSpPr>
          <xdr:cNvPr id="2055" name="Rettangolo con angoli arrotondati 2054">
            <a:extLst>
              <a:ext uri="{FF2B5EF4-FFF2-40B4-BE49-F238E27FC236}">
                <a16:creationId xmlns:a16="http://schemas.microsoft.com/office/drawing/2014/main" id="{2C93D6FD-F323-47B7-9177-96B12FACCBF3}"/>
              </a:ext>
            </a:extLst>
          </xdr:cNvPr>
          <xdr:cNvSpPr/>
        </xdr:nvSpPr>
        <xdr:spPr>
          <a:xfrm>
            <a:off x="6972284" y="4881345"/>
            <a:ext cx="2945586" cy="1695117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57" name="Gruppo 2056">
            <a:extLst>
              <a:ext uri="{FF2B5EF4-FFF2-40B4-BE49-F238E27FC236}">
                <a16:creationId xmlns:a16="http://schemas.microsoft.com/office/drawing/2014/main" id="{E34CE727-7B90-17BF-3B41-26CA6CEF9A67}"/>
              </a:ext>
            </a:extLst>
          </xdr:cNvPr>
          <xdr:cNvGrpSpPr/>
        </xdr:nvGrpSpPr>
        <xdr:grpSpPr>
          <a:xfrm>
            <a:off x="7234384" y="4972932"/>
            <a:ext cx="2329896" cy="833201"/>
            <a:chOff x="7204939" y="3073252"/>
            <a:chExt cx="2327031" cy="817982"/>
          </a:xfrm>
          <a:grpFill/>
        </xdr:grpSpPr>
        <xdr:sp macro="" textlink="">
          <xdr:nvSpPr>
            <xdr:cNvPr id="2058" name="CasellaDiTesto 2057">
              <a:extLst>
                <a:ext uri="{FF2B5EF4-FFF2-40B4-BE49-F238E27FC236}">
                  <a16:creationId xmlns:a16="http://schemas.microsoft.com/office/drawing/2014/main" id="{86562BD3-B706-F25D-2267-7A930F0FA2CF}"/>
                </a:ext>
              </a:extLst>
            </xdr:cNvPr>
            <xdr:cNvSpPr txBox="1"/>
          </xdr:nvSpPr>
          <xdr:spPr>
            <a:xfrm>
              <a:off x="7204939" y="3073252"/>
              <a:ext cx="2327031" cy="412017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2000" b="1">
                  <a:solidFill>
                    <a:schemeClr val="accent1"/>
                  </a:solidFill>
                </a:rPr>
                <a:t>RISPARMI</a:t>
              </a:r>
            </a:p>
          </xdr:txBody>
        </xdr:sp>
        <xdr:sp macro="" textlink="CALCOLI!M43">
          <xdr:nvSpPr>
            <xdr:cNvPr id="2059" name="CasellaDiTesto 2058">
              <a:extLst>
                <a:ext uri="{FF2B5EF4-FFF2-40B4-BE49-F238E27FC236}">
                  <a16:creationId xmlns:a16="http://schemas.microsoft.com/office/drawing/2014/main" id="{9572AB98-33EA-290F-50E2-DD42E4F383E3}"/>
                </a:ext>
              </a:extLst>
            </xdr:cNvPr>
            <xdr:cNvSpPr txBox="1"/>
          </xdr:nvSpPr>
          <xdr:spPr>
            <a:xfrm>
              <a:off x="7204939" y="3473454"/>
              <a:ext cx="2327031" cy="417780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680A6FD-0EF0-46ED-A764-AEBB6FCD46CC}" type="TxLink">
                <a:rPr lang="en-US" sz="3600" b="1" i="0" u="none" strike="noStrike">
                  <a:solidFill>
                    <a:schemeClr val="accent1"/>
                  </a:solidFill>
                  <a:latin typeface="+mn-lt"/>
                  <a:cs typeface="Calibri"/>
                </a:rPr>
                <a:pPr algn="ctr"/>
                <a:t>100,00 €</a:t>
              </a:fld>
              <a:endParaRPr lang="it-IT" sz="3600" b="1" u="none">
                <a:solidFill>
                  <a:schemeClr val="accent1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33</xdr:col>
      <xdr:colOff>312225</xdr:colOff>
      <xdr:row>23</xdr:row>
      <xdr:rowOff>169030</xdr:rowOff>
    </xdr:from>
    <xdr:to>
      <xdr:col>38</xdr:col>
      <xdr:colOff>242468</xdr:colOff>
      <xdr:row>33</xdr:row>
      <xdr:rowOff>33205</xdr:rowOff>
    </xdr:to>
    <xdr:grpSp>
      <xdr:nvGrpSpPr>
        <xdr:cNvPr id="111" name="Gruppo 110">
          <a:extLst>
            <a:ext uri="{FF2B5EF4-FFF2-40B4-BE49-F238E27FC236}">
              <a16:creationId xmlns:a16="http://schemas.microsoft.com/office/drawing/2014/main" id="{4A8FC08F-0966-E74A-3C2B-ABD3D7605729}"/>
            </a:ext>
          </a:extLst>
        </xdr:cNvPr>
        <xdr:cNvGrpSpPr/>
      </xdr:nvGrpSpPr>
      <xdr:grpSpPr>
        <a:xfrm>
          <a:off x="20429025" y="4453163"/>
          <a:ext cx="2978243" cy="1726842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200" name="Rettangolo con angoli arrotondati 199">
            <a:extLst>
              <a:ext uri="{FF2B5EF4-FFF2-40B4-BE49-F238E27FC236}">
                <a16:creationId xmlns:a16="http://schemas.microsoft.com/office/drawing/2014/main" id="{1AF1516A-57D2-4C5E-C8BA-8C7D6A15A235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201" name="Gruppo 200">
            <a:extLst>
              <a:ext uri="{FF2B5EF4-FFF2-40B4-BE49-F238E27FC236}">
                <a16:creationId xmlns:a16="http://schemas.microsoft.com/office/drawing/2014/main" id="{EC051DFF-C95C-0FA7-3903-BEADB0777436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202" name="Gruppo 201">
              <a:extLst>
                <a:ext uri="{FF2B5EF4-FFF2-40B4-BE49-F238E27FC236}">
                  <a16:creationId xmlns:a16="http://schemas.microsoft.com/office/drawing/2014/main" id="{997A8869-332C-7A27-F661-C64E9DFB92FA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2050" name="CasellaDiTesto 2049">
                <a:extLst>
                  <a:ext uri="{FF2B5EF4-FFF2-40B4-BE49-F238E27FC236}">
                    <a16:creationId xmlns:a16="http://schemas.microsoft.com/office/drawing/2014/main" id="{6D87C484-3D88-0356-E53D-0BEC8F49C9CA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chemeClr val="accent5">
                        <a:lumMod val="75000"/>
                      </a:schemeClr>
                    </a:solidFill>
                  </a:rPr>
                  <a:t>INVESTIMENTI</a:t>
                </a:r>
              </a:p>
            </xdr:txBody>
          </xdr:sp>
          <xdr:sp macro="" textlink="CALCOLI!P46">
            <xdr:nvSpPr>
              <xdr:cNvPr id="2054" name="CasellaDiTesto 2053">
                <a:extLst>
                  <a:ext uri="{FF2B5EF4-FFF2-40B4-BE49-F238E27FC236}">
                    <a16:creationId xmlns:a16="http://schemas.microsoft.com/office/drawing/2014/main" id="{8A733A71-052F-B4D3-FBF7-06E525BECE96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51829D7-7182-4343-9798-0A2DC75D7BDB}" type="TxLink">
                  <a:rPr lang="en-US" sz="3600" b="1" i="0" u="none" strike="noStrike">
                    <a:solidFill>
                      <a:schemeClr val="accent5">
                        <a:lumMod val="75000"/>
                      </a:schemeClr>
                    </a:solidFill>
                    <a:latin typeface="+mn-lt"/>
                    <a:cs typeface="Calibri"/>
                  </a:rPr>
                  <a:pPr algn="ctr"/>
                  <a:t>0,00 €</a:t>
                </a:fld>
                <a:endParaRPr lang="it-IT" sz="3600" b="1" u="none">
                  <a:solidFill>
                    <a:schemeClr val="accent5">
                      <a:lumMod val="75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203" name="Gruppo 202">
              <a:extLst>
                <a:ext uri="{FF2B5EF4-FFF2-40B4-BE49-F238E27FC236}">
                  <a16:creationId xmlns:a16="http://schemas.microsoft.com/office/drawing/2014/main" id="{7CBB614C-E453-30F5-46DD-A7650FA86FA8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207" name="Gruppo 206">
                <a:extLst>
                  <a:ext uri="{FF2B5EF4-FFF2-40B4-BE49-F238E27FC236}">
                    <a16:creationId xmlns:a16="http://schemas.microsoft.com/office/drawing/2014/main" id="{15FA4B1E-DAC8-41C2-BFE7-FD90B629A188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211" name="CasellaDiTesto 210">
                  <a:extLst>
                    <a:ext uri="{FF2B5EF4-FFF2-40B4-BE49-F238E27FC236}">
                      <a16:creationId xmlns:a16="http://schemas.microsoft.com/office/drawing/2014/main" id="{3AABCB53-7F97-3296-79F6-0DDB46C4C712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ETF</a:t>
                  </a:r>
                </a:p>
              </xdr:txBody>
            </xdr:sp>
            <xdr:sp macro="" textlink="CALCOLI!M46">
              <xdr:nvSpPr>
                <xdr:cNvPr id="2049" name="CasellaDiTesto 2048">
                  <a:extLst>
                    <a:ext uri="{FF2B5EF4-FFF2-40B4-BE49-F238E27FC236}">
                      <a16:creationId xmlns:a16="http://schemas.microsoft.com/office/drawing/2014/main" id="{736ED77C-FF8D-BC3D-8678-479954BD4316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211EAEA9-302A-488F-BF7B-75E235061629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208" name="Gruppo 207">
                <a:extLst>
                  <a:ext uri="{FF2B5EF4-FFF2-40B4-BE49-F238E27FC236}">
                    <a16:creationId xmlns:a16="http://schemas.microsoft.com/office/drawing/2014/main" id="{1ED8CB97-AFD4-CE20-1829-EE53CE039DB9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209" name="CasellaDiTesto 208">
                  <a:extLst>
                    <a:ext uri="{FF2B5EF4-FFF2-40B4-BE49-F238E27FC236}">
                      <a16:creationId xmlns:a16="http://schemas.microsoft.com/office/drawing/2014/main" id="{FA24E5EE-C989-F4F5-537D-F4F32FF9165D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F. PENS.</a:t>
                  </a:r>
                </a:p>
              </xdr:txBody>
            </xdr:sp>
            <xdr:sp macro="" textlink="CALCOLI!N46">
              <xdr:nvSpPr>
                <xdr:cNvPr id="210" name="CasellaDiTesto 209">
                  <a:extLst>
                    <a:ext uri="{FF2B5EF4-FFF2-40B4-BE49-F238E27FC236}">
                      <a16:creationId xmlns:a16="http://schemas.microsoft.com/office/drawing/2014/main" id="{F94F2A21-3A36-6AF5-A799-25082F65A412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F3881F5-7234-47D8-943A-38A3B4517425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0,00 €</a:t>
                  </a:fld>
                  <a:endParaRPr lang="it-IT" sz="2000" b="1" u="none"/>
                </a:p>
              </xdr:txBody>
            </xdr:sp>
          </xdr:grpSp>
        </xdr:grpSp>
      </xdr:grpSp>
    </xdr:grpSp>
    <xdr:clientData/>
  </xdr:twoCellAnchor>
  <xdr:twoCellAnchor>
    <xdr:from>
      <xdr:col>33</xdr:col>
      <xdr:colOff>312225</xdr:colOff>
      <xdr:row>13</xdr:row>
      <xdr:rowOff>36116</xdr:rowOff>
    </xdr:from>
    <xdr:to>
      <xdr:col>38</xdr:col>
      <xdr:colOff>242468</xdr:colOff>
      <xdr:row>22</xdr:row>
      <xdr:rowOff>70444</xdr:rowOff>
    </xdr:to>
    <xdr:grpSp>
      <xdr:nvGrpSpPr>
        <xdr:cNvPr id="112" name="Gruppo 111">
          <a:extLst>
            <a:ext uri="{FF2B5EF4-FFF2-40B4-BE49-F238E27FC236}">
              <a16:creationId xmlns:a16="http://schemas.microsoft.com/office/drawing/2014/main" id="{D2D24B18-B3D8-285C-D34E-2FE47D7F9597}"/>
            </a:ext>
          </a:extLst>
        </xdr:cNvPr>
        <xdr:cNvGrpSpPr/>
      </xdr:nvGrpSpPr>
      <xdr:grpSpPr>
        <a:xfrm>
          <a:off x="20429025" y="2457583"/>
          <a:ext cx="2978243" cy="1710728"/>
          <a:chOff x="6939617" y="2934515"/>
          <a:chExt cx="2942384" cy="1637486"/>
        </a:xfrm>
        <a:solidFill>
          <a:schemeClr val="bg1"/>
        </a:solidFill>
      </xdr:grpSpPr>
      <xdr:sp macro="" textlink="">
        <xdr:nvSpPr>
          <xdr:cNvPr id="113" name="Rettangolo con angoli arrotondati 112">
            <a:extLst>
              <a:ext uri="{FF2B5EF4-FFF2-40B4-BE49-F238E27FC236}">
                <a16:creationId xmlns:a16="http://schemas.microsoft.com/office/drawing/2014/main" id="{B27A0B5E-390D-29DE-9469-6E47EA814E2B}"/>
              </a:ext>
            </a:extLst>
          </xdr:cNvPr>
          <xdr:cNvSpPr/>
        </xdr:nvSpPr>
        <xdr:spPr>
          <a:xfrm>
            <a:off x="6939617" y="2934515"/>
            <a:ext cx="2942384" cy="1637486"/>
          </a:xfrm>
          <a:prstGeom prst="roundRect">
            <a:avLst/>
          </a:prstGeom>
          <a:grpFill/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3200"/>
          </a:p>
        </xdr:txBody>
      </xdr:sp>
      <xdr:grpSp>
        <xdr:nvGrpSpPr>
          <xdr:cNvPr id="188" name="Gruppo 187">
            <a:extLst>
              <a:ext uri="{FF2B5EF4-FFF2-40B4-BE49-F238E27FC236}">
                <a16:creationId xmlns:a16="http://schemas.microsoft.com/office/drawing/2014/main" id="{E3464344-F4C3-8194-E02A-C18680957E3C}"/>
              </a:ext>
            </a:extLst>
          </xdr:cNvPr>
          <xdr:cNvGrpSpPr/>
        </xdr:nvGrpSpPr>
        <xdr:grpSpPr>
          <a:xfrm>
            <a:off x="7150548" y="3048082"/>
            <a:ext cx="2520524" cy="1403237"/>
            <a:chOff x="7144686" y="3073252"/>
            <a:chExt cx="2521214" cy="1422546"/>
          </a:xfrm>
          <a:grpFill/>
        </xdr:grpSpPr>
        <xdr:grpSp>
          <xdr:nvGrpSpPr>
            <xdr:cNvPr id="189" name="Gruppo 188">
              <a:extLst>
                <a:ext uri="{FF2B5EF4-FFF2-40B4-BE49-F238E27FC236}">
                  <a16:creationId xmlns:a16="http://schemas.microsoft.com/office/drawing/2014/main" id="{A7A91621-8D1A-92F5-43A1-0EE6C2CA4306}"/>
                </a:ext>
              </a:extLst>
            </xdr:cNvPr>
            <xdr:cNvGrpSpPr/>
          </xdr:nvGrpSpPr>
          <xdr:grpSpPr>
            <a:xfrm>
              <a:off x="7204939" y="3073252"/>
              <a:ext cx="2327034" cy="817982"/>
              <a:chOff x="7204939" y="3073252"/>
              <a:chExt cx="2327034" cy="817982"/>
            </a:xfrm>
            <a:grpFill/>
          </xdr:grpSpPr>
          <xdr:sp macro="" textlink="">
            <xdr:nvSpPr>
              <xdr:cNvPr id="198" name="CasellaDiTesto 197">
                <a:extLst>
                  <a:ext uri="{FF2B5EF4-FFF2-40B4-BE49-F238E27FC236}">
                    <a16:creationId xmlns:a16="http://schemas.microsoft.com/office/drawing/2014/main" id="{1A174AF4-6CC2-E08A-9DD7-3A754262BDF1}"/>
                  </a:ext>
                </a:extLst>
              </xdr:cNvPr>
              <xdr:cNvSpPr txBox="1"/>
            </xdr:nvSpPr>
            <xdr:spPr>
              <a:xfrm>
                <a:off x="7204941" y="3073252"/>
                <a:ext cx="2327032" cy="412017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2000" b="1">
                    <a:solidFill>
                      <a:srgbClr val="FF0000"/>
                    </a:solidFill>
                  </a:rPr>
                  <a:t>SPESE</a:t>
                </a:r>
              </a:p>
            </xdr:txBody>
          </xdr:sp>
          <xdr:sp macro="" textlink="CALCOLI!P40">
            <xdr:nvSpPr>
              <xdr:cNvPr id="199" name="CasellaDiTesto 198">
                <a:extLst>
                  <a:ext uri="{FF2B5EF4-FFF2-40B4-BE49-F238E27FC236}">
                    <a16:creationId xmlns:a16="http://schemas.microsoft.com/office/drawing/2014/main" id="{C8709969-8D08-5D45-3503-2A9C5B902323}"/>
                  </a:ext>
                </a:extLst>
              </xdr:cNvPr>
              <xdr:cNvSpPr txBox="1"/>
            </xdr:nvSpPr>
            <xdr:spPr>
              <a:xfrm>
                <a:off x="7204939" y="3473454"/>
                <a:ext cx="2327031" cy="41778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CC96A47-83D0-4A4F-A996-5CB8285F0BD1}" type="TxLink">
                  <a:rPr lang="en-US" sz="3600" b="1" i="0" u="none" strike="noStrike">
                    <a:solidFill>
                      <a:srgbClr val="FF0000"/>
                    </a:solidFill>
                    <a:latin typeface="Aptos Narrow"/>
                  </a:rPr>
                  <a:pPr algn="ctr"/>
                  <a:t>2.127,99 €</a:t>
                </a:fld>
                <a:endParaRPr lang="it-IT" sz="3600" b="1" u="none">
                  <a:solidFill>
                    <a:srgbClr val="FF0000"/>
                  </a:solidFill>
                </a:endParaRPr>
              </a:p>
            </xdr:txBody>
          </xdr:sp>
        </xdr:grpSp>
        <xdr:grpSp>
          <xdr:nvGrpSpPr>
            <xdr:cNvPr id="190" name="Gruppo 189">
              <a:extLst>
                <a:ext uri="{FF2B5EF4-FFF2-40B4-BE49-F238E27FC236}">
                  <a16:creationId xmlns:a16="http://schemas.microsoft.com/office/drawing/2014/main" id="{45A4F4CC-B8AF-8A32-AEE0-8F40ADBC2A30}"/>
                </a:ext>
              </a:extLst>
            </xdr:cNvPr>
            <xdr:cNvGrpSpPr/>
          </xdr:nvGrpSpPr>
          <xdr:grpSpPr>
            <a:xfrm>
              <a:off x="7144686" y="3909703"/>
              <a:ext cx="2521214" cy="586095"/>
              <a:chOff x="7091266" y="1757865"/>
              <a:chExt cx="2518283" cy="583470"/>
            </a:xfrm>
            <a:grpFill/>
          </xdr:grpSpPr>
          <xdr:grpSp>
            <xdr:nvGrpSpPr>
              <xdr:cNvPr id="192" name="Gruppo 191">
                <a:extLst>
                  <a:ext uri="{FF2B5EF4-FFF2-40B4-BE49-F238E27FC236}">
                    <a16:creationId xmlns:a16="http://schemas.microsoft.com/office/drawing/2014/main" id="{D3CCEEB7-B09C-7B4A-65A0-BBE01324E86F}"/>
                  </a:ext>
                </a:extLst>
              </xdr:cNvPr>
              <xdr:cNvGrpSpPr/>
            </xdr:nvGrpSpPr>
            <xdr:grpSpPr>
              <a:xfrm>
                <a:off x="7091266" y="1757865"/>
                <a:ext cx="1185959" cy="583470"/>
                <a:chOff x="7091266" y="1769206"/>
                <a:chExt cx="1185959" cy="583470"/>
              </a:xfrm>
              <a:grpFill/>
            </xdr:grpSpPr>
            <xdr:sp macro="" textlink="">
              <xdr:nvSpPr>
                <xdr:cNvPr id="196" name="CasellaDiTesto 195">
                  <a:extLst>
                    <a:ext uri="{FF2B5EF4-FFF2-40B4-BE49-F238E27FC236}">
                      <a16:creationId xmlns:a16="http://schemas.microsoft.com/office/drawing/2014/main" id="{B2454919-5276-32D2-1267-12B80FB8D128}"/>
                    </a:ext>
                  </a:extLst>
                </xdr:cNvPr>
                <xdr:cNvSpPr txBox="1"/>
              </xdr:nvSpPr>
              <xdr:spPr>
                <a:xfrm>
                  <a:off x="7234141" y="1769206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NECESSITÀ</a:t>
                  </a:r>
                </a:p>
              </xdr:txBody>
            </xdr:sp>
            <xdr:sp macro="" textlink="CALCOLI!M40">
              <xdr:nvSpPr>
                <xdr:cNvPr id="197" name="CasellaDiTesto 196">
                  <a:extLst>
                    <a:ext uri="{FF2B5EF4-FFF2-40B4-BE49-F238E27FC236}">
                      <a16:creationId xmlns:a16="http://schemas.microsoft.com/office/drawing/2014/main" id="{435CF49D-4233-6D69-1115-7775547EE07E}"/>
                    </a:ext>
                  </a:extLst>
                </xdr:cNvPr>
                <xdr:cNvSpPr txBox="1"/>
              </xdr:nvSpPr>
              <xdr:spPr>
                <a:xfrm>
                  <a:off x="7091266" y="2037047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452B77A2-38DC-4FF0-8BFF-D1A73ACF6CE1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  <a:cs typeface="Calibri"/>
                    </a:rPr>
                    <a:pPr algn="ctr"/>
                    <a:t>1.456,91 €</a:t>
                  </a:fld>
                  <a:endParaRPr lang="it-IT" sz="2000" b="1" u="none"/>
                </a:p>
              </xdr:txBody>
            </xdr:sp>
          </xdr:grpSp>
          <xdr:grpSp>
            <xdr:nvGrpSpPr>
              <xdr:cNvPr id="193" name="Gruppo 192">
                <a:extLst>
                  <a:ext uri="{FF2B5EF4-FFF2-40B4-BE49-F238E27FC236}">
                    <a16:creationId xmlns:a16="http://schemas.microsoft.com/office/drawing/2014/main" id="{47DF4B40-24EA-3256-1E65-E4B1387664B7}"/>
                  </a:ext>
                </a:extLst>
              </xdr:cNvPr>
              <xdr:cNvGrpSpPr/>
            </xdr:nvGrpSpPr>
            <xdr:grpSpPr>
              <a:xfrm>
                <a:off x="8423590" y="1757865"/>
                <a:ext cx="1185959" cy="583470"/>
                <a:chOff x="8423590" y="1746524"/>
                <a:chExt cx="1185959" cy="583470"/>
              </a:xfrm>
              <a:grpFill/>
            </xdr:grpSpPr>
            <xdr:sp macro="" textlink="">
              <xdr:nvSpPr>
                <xdr:cNvPr id="194" name="CasellaDiTesto 193">
                  <a:extLst>
                    <a:ext uri="{FF2B5EF4-FFF2-40B4-BE49-F238E27FC236}">
                      <a16:creationId xmlns:a16="http://schemas.microsoft.com/office/drawing/2014/main" id="{2F495DB6-E0A8-3E5E-CDB9-7DDE150FD7D3}"/>
                    </a:ext>
                  </a:extLst>
                </xdr:cNvPr>
                <xdr:cNvSpPr txBox="1"/>
              </xdr:nvSpPr>
              <xdr:spPr>
                <a:xfrm>
                  <a:off x="8566465" y="1746524"/>
                  <a:ext cx="900209" cy="345345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SVAGO</a:t>
                  </a:r>
                </a:p>
              </xdr:txBody>
            </xdr:sp>
            <xdr:sp macro="" textlink="CALCOLI!N40">
              <xdr:nvSpPr>
                <xdr:cNvPr id="195" name="CasellaDiTesto 194">
                  <a:extLst>
                    <a:ext uri="{FF2B5EF4-FFF2-40B4-BE49-F238E27FC236}">
                      <a16:creationId xmlns:a16="http://schemas.microsoft.com/office/drawing/2014/main" id="{CC9061D7-4399-EB62-8D9F-3608D4A93AA3}"/>
                    </a:ext>
                  </a:extLst>
                </xdr:cNvPr>
                <xdr:cNvSpPr txBox="1"/>
              </xdr:nvSpPr>
              <xdr:spPr>
                <a:xfrm>
                  <a:off x="8423590" y="2014365"/>
                  <a:ext cx="1185959" cy="315629"/>
                </a:xfrm>
                <a:prstGeom prst="rect">
                  <a:avLst/>
                </a:prstGeom>
                <a:grp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924BA0D3-436C-43A1-8CF0-EFD5C1A0DC97}" type="TxLink">
                    <a:rPr lang="en-US" sz="2000" b="1" i="0" u="none" strike="noStrike">
                      <a:solidFill>
                        <a:srgbClr val="000000"/>
                      </a:solidFill>
                      <a:latin typeface="Aptos Narrow"/>
                    </a:rPr>
                    <a:pPr algn="ctr"/>
                    <a:t>627,68 €</a:t>
                  </a:fld>
                  <a:endParaRPr lang="it-IT" sz="3600" b="1" u="none"/>
                </a:p>
              </xdr:txBody>
            </xdr:sp>
          </xdr:grpSp>
        </xdr:grpSp>
      </xdr:grpSp>
    </xdr:grpSp>
    <xdr:clientData/>
  </xdr:twoCellAnchor>
  <xdr:twoCellAnchor>
    <xdr:from>
      <xdr:col>27</xdr:col>
      <xdr:colOff>428465</xdr:colOff>
      <xdr:row>33</xdr:row>
      <xdr:rowOff>169251</xdr:rowOff>
    </xdr:from>
    <xdr:to>
      <xdr:col>44</xdr:col>
      <xdr:colOff>162085</xdr:colOff>
      <xdr:row>64</xdr:row>
      <xdr:rowOff>152400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E797063-5EA5-458F-8D24-61A3D676A8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231736</xdr:colOff>
      <xdr:row>35</xdr:row>
      <xdr:rowOff>20276</xdr:rowOff>
    </xdr:from>
    <xdr:to>
      <xdr:col>38</xdr:col>
      <xdr:colOff>358815</xdr:colOff>
      <xdr:row>37</xdr:row>
      <xdr:rowOff>123204</xdr:rowOff>
    </xdr:to>
    <xdr:grpSp>
      <xdr:nvGrpSpPr>
        <xdr:cNvPr id="16" name="Gruppo 15">
          <a:extLst>
            <a:ext uri="{FF2B5EF4-FFF2-40B4-BE49-F238E27FC236}">
              <a16:creationId xmlns:a16="http://schemas.microsoft.com/office/drawing/2014/main" id="{D0AB0AC6-F614-FC11-2DC1-5F80E8872124}"/>
            </a:ext>
          </a:extLst>
        </xdr:cNvPr>
        <xdr:cNvGrpSpPr/>
      </xdr:nvGrpSpPr>
      <xdr:grpSpPr>
        <a:xfrm>
          <a:off x="20348536" y="6539609"/>
          <a:ext cx="3175079" cy="475462"/>
          <a:chOff x="20534267" y="6489755"/>
          <a:chExt cx="3175079" cy="478971"/>
        </a:xfrm>
      </xdr:grpSpPr>
      <xdr:grpSp>
        <xdr:nvGrpSpPr>
          <xdr:cNvPr id="15" name="Gruppo 14">
            <a:extLst>
              <a:ext uri="{FF2B5EF4-FFF2-40B4-BE49-F238E27FC236}">
                <a16:creationId xmlns:a16="http://schemas.microsoft.com/office/drawing/2014/main" id="{378B5BA9-5E04-E680-5B4C-582F2F664B59}"/>
              </a:ext>
            </a:extLst>
          </xdr:cNvPr>
          <xdr:cNvGrpSpPr/>
        </xdr:nvGrpSpPr>
        <xdr:grpSpPr>
          <a:xfrm>
            <a:off x="20534267" y="6489755"/>
            <a:ext cx="1008017" cy="478971"/>
            <a:chOff x="23897953" y="4813521"/>
            <a:chExt cx="1008017" cy="480391"/>
          </a:xfrm>
        </xdr:grpSpPr>
        <xdr:sp macro="" textlink="">
          <xdr:nvSpPr>
            <xdr:cNvPr id="7" name="Rettangolo con angoli arrotondati 6">
              <a:extLst>
                <a:ext uri="{FF2B5EF4-FFF2-40B4-BE49-F238E27FC236}">
                  <a16:creationId xmlns:a16="http://schemas.microsoft.com/office/drawing/2014/main" id="{2A50396C-8C15-6929-B2B9-ADCD6B7C3279}"/>
                </a:ext>
              </a:extLst>
            </xdr:cNvPr>
            <xdr:cNvSpPr/>
          </xdr:nvSpPr>
          <xdr:spPr>
            <a:xfrm>
              <a:off x="23929522" y="4813521"/>
              <a:ext cx="944879" cy="480391"/>
            </a:xfrm>
            <a:prstGeom prst="roundRect">
              <a:avLst/>
            </a:prstGeom>
            <a:solidFill>
              <a:schemeClr val="accent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43A73DA6-7132-DBFF-9476-FB33EEE7FDF2}"/>
                </a:ext>
              </a:extLst>
            </xdr:cNvPr>
            <xdr:cNvSpPr txBox="1"/>
          </xdr:nvSpPr>
          <xdr:spPr>
            <a:xfrm>
              <a:off x="23897953" y="4874954"/>
              <a:ext cx="1008017" cy="3601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ACQUA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3B145E7-BC70-6012-9D06-36315D6BBAAE}"/>
              </a:ext>
            </a:extLst>
          </xdr:cNvPr>
          <xdr:cNvGrpSpPr/>
        </xdr:nvGrpSpPr>
        <xdr:grpSpPr>
          <a:xfrm>
            <a:off x="21617798" y="6490843"/>
            <a:ext cx="1008017" cy="476795"/>
            <a:chOff x="25061635" y="4802043"/>
            <a:chExt cx="1008017" cy="478215"/>
          </a:xfrm>
        </xdr:grpSpPr>
        <xdr:sp macro="" textlink="">
          <xdr:nvSpPr>
            <xdr:cNvPr id="9" name="Rettangolo con angoli arrotondati 8">
              <a:extLst>
                <a:ext uri="{FF2B5EF4-FFF2-40B4-BE49-F238E27FC236}">
                  <a16:creationId xmlns:a16="http://schemas.microsoft.com/office/drawing/2014/main" id="{0EA14A39-2D15-4A31-9CBC-C58B0E763F27}"/>
                </a:ext>
              </a:extLst>
            </xdr:cNvPr>
            <xdr:cNvSpPr/>
          </xdr:nvSpPr>
          <xdr:spPr>
            <a:xfrm>
              <a:off x="25093204" y="4802043"/>
              <a:ext cx="944879" cy="478215"/>
            </a:xfrm>
            <a:prstGeom prst="roundRect">
              <a:avLst/>
            </a:prstGeom>
            <a:solidFill>
              <a:srgbClr val="C0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4B5AC393-9EBD-407B-9013-0C7A30803212}"/>
                </a:ext>
              </a:extLst>
            </xdr:cNvPr>
            <xdr:cNvSpPr txBox="1"/>
          </xdr:nvSpPr>
          <xdr:spPr>
            <a:xfrm>
              <a:off x="25061635" y="4861299"/>
              <a:ext cx="1008017" cy="360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GAS</a:t>
              </a:r>
            </a:p>
          </xdr:txBody>
        </xdr:sp>
      </xdr:grpSp>
      <xdr:grpSp>
        <xdr:nvGrpSpPr>
          <xdr:cNvPr id="13" name="Gruppo 12">
            <a:extLst>
              <a:ext uri="{FF2B5EF4-FFF2-40B4-BE49-F238E27FC236}">
                <a16:creationId xmlns:a16="http://schemas.microsoft.com/office/drawing/2014/main" id="{D6BA1F18-C7D3-0E1E-0720-EE5D5245A6CC}"/>
              </a:ext>
            </a:extLst>
          </xdr:cNvPr>
          <xdr:cNvGrpSpPr/>
        </xdr:nvGrpSpPr>
        <xdr:grpSpPr>
          <a:xfrm>
            <a:off x="22701329" y="6491931"/>
            <a:ext cx="1008017" cy="474619"/>
            <a:chOff x="24103693" y="5347748"/>
            <a:chExt cx="1008017" cy="476039"/>
          </a:xfrm>
        </xdr:grpSpPr>
        <xdr:sp macro="" textlink="">
          <xdr:nvSpPr>
            <xdr:cNvPr id="11" name="Rettangolo con angoli arrotondati 10">
              <a:extLst>
                <a:ext uri="{FF2B5EF4-FFF2-40B4-BE49-F238E27FC236}">
                  <a16:creationId xmlns:a16="http://schemas.microsoft.com/office/drawing/2014/main" id="{27C33310-43BF-4456-9BAC-A409B24D570E}"/>
                </a:ext>
              </a:extLst>
            </xdr:cNvPr>
            <xdr:cNvSpPr/>
          </xdr:nvSpPr>
          <xdr:spPr>
            <a:xfrm>
              <a:off x="24135262" y="5347748"/>
              <a:ext cx="944879" cy="476039"/>
            </a:xfrm>
            <a:prstGeom prst="round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2" name="CasellaDiTesto 11">
              <a:extLst>
                <a:ext uri="{FF2B5EF4-FFF2-40B4-BE49-F238E27FC236}">
                  <a16:creationId xmlns:a16="http://schemas.microsoft.com/office/drawing/2014/main" id="{BA338519-D9A0-4A2E-85E7-6C20B7494873}"/>
                </a:ext>
              </a:extLst>
            </xdr:cNvPr>
            <xdr:cNvSpPr txBox="1"/>
          </xdr:nvSpPr>
          <xdr:spPr>
            <a:xfrm>
              <a:off x="24103693" y="5404828"/>
              <a:ext cx="1008017" cy="360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600" b="1">
                  <a:solidFill>
                    <a:schemeClr val="bg1"/>
                  </a:solidFill>
                </a:rPr>
                <a:t>LUCE</a:t>
              </a:r>
            </a:p>
          </xdr:txBody>
        </xdr:sp>
      </xdr:grpSp>
    </xdr:grpSp>
    <xdr:clientData/>
  </xdr:twoCellAnchor>
  <xdr:twoCellAnchor>
    <xdr:from>
      <xdr:col>39</xdr:col>
      <xdr:colOff>410438</xdr:colOff>
      <xdr:row>23</xdr:row>
      <xdr:rowOff>115277</xdr:rowOff>
    </xdr:from>
    <xdr:to>
      <xdr:col>43</xdr:col>
      <xdr:colOff>196198</xdr:colOff>
      <xdr:row>33</xdr:row>
      <xdr:rowOff>33204</xdr:rowOff>
    </xdr:to>
    <xdr:grpSp>
      <xdr:nvGrpSpPr>
        <xdr:cNvPr id="145" name="Gruppo 144">
          <a:extLst>
            <a:ext uri="{FF2B5EF4-FFF2-40B4-BE49-F238E27FC236}">
              <a16:creationId xmlns:a16="http://schemas.microsoft.com/office/drawing/2014/main" id="{46E5A6A6-2C9E-1A0D-F023-5B7A5A6FDAAE}"/>
            </a:ext>
          </a:extLst>
        </xdr:cNvPr>
        <xdr:cNvGrpSpPr/>
      </xdr:nvGrpSpPr>
      <xdr:grpSpPr>
        <a:xfrm>
          <a:off x="24184838" y="4399410"/>
          <a:ext cx="2224160" cy="1780594"/>
          <a:chOff x="24162051" y="4610098"/>
          <a:chExt cx="2224160" cy="1812717"/>
        </a:xfrm>
      </xdr:grpSpPr>
      <xdr:sp macro="" textlink="">
        <xdr:nvSpPr>
          <xdr:cNvPr id="18" name="CasellaDiTesto 17">
            <a:extLst>
              <a:ext uri="{FF2B5EF4-FFF2-40B4-BE49-F238E27FC236}">
                <a16:creationId xmlns:a16="http://schemas.microsoft.com/office/drawing/2014/main" id="{2BC01DF8-B885-B5AC-0EEF-1FB8F1429B7D}"/>
              </a:ext>
            </a:extLst>
          </xdr:cNvPr>
          <xdr:cNvSpPr txBox="1"/>
        </xdr:nvSpPr>
        <xdr:spPr>
          <a:xfrm>
            <a:off x="24243190" y="4610098"/>
            <a:ext cx="2061883" cy="3767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it-IT" sz="2400" b="1">
                <a:solidFill>
                  <a:srgbClr val="FF0000"/>
                </a:solidFill>
              </a:rPr>
              <a:t>PORTAFOGLIO</a:t>
            </a:r>
          </a:p>
        </xdr:txBody>
      </xdr:sp>
      <xdr:grpSp>
        <xdr:nvGrpSpPr>
          <xdr:cNvPr id="19" name="Gruppo 18">
            <a:extLst>
              <a:ext uri="{FF2B5EF4-FFF2-40B4-BE49-F238E27FC236}">
                <a16:creationId xmlns:a16="http://schemas.microsoft.com/office/drawing/2014/main" id="{2CC7A416-B707-B7BA-F21E-6E6D4600A3DE}"/>
              </a:ext>
            </a:extLst>
          </xdr:cNvPr>
          <xdr:cNvGrpSpPr/>
        </xdr:nvGrpSpPr>
        <xdr:grpSpPr>
          <a:xfrm>
            <a:off x="24162051" y="5074657"/>
            <a:ext cx="2224160" cy="1348158"/>
            <a:chOff x="12262806" y="7263414"/>
            <a:chExt cx="2224160" cy="1269045"/>
          </a:xfrm>
        </xdr:grpSpPr>
        <xdr:grpSp>
          <xdr:nvGrpSpPr>
            <xdr:cNvPr id="25" name="Gruppo 24">
              <a:extLst>
                <a:ext uri="{FF2B5EF4-FFF2-40B4-BE49-F238E27FC236}">
                  <a16:creationId xmlns:a16="http://schemas.microsoft.com/office/drawing/2014/main" id="{F67B7786-68F9-3D0F-26F4-BB55CC053EC4}"/>
                </a:ext>
              </a:extLst>
            </xdr:cNvPr>
            <xdr:cNvGrpSpPr/>
          </xdr:nvGrpSpPr>
          <xdr:grpSpPr>
            <a:xfrm>
              <a:off x="12262806" y="7263414"/>
              <a:ext cx="900892" cy="560512"/>
              <a:chOff x="12181646" y="9838508"/>
              <a:chExt cx="900892" cy="570165"/>
            </a:xfrm>
          </xdr:grpSpPr>
          <xdr:sp macro="" textlink="">
            <xdr:nvSpPr>
              <xdr:cNvPr id="119" name="CasellaDiTesto 118">
                <a:extLst>
                  <a:ext uri="{FF2B5EF4-FFF2-40B4-BE49-F238E27FC236}">
                    <a16:creationId xmlns:a16="http://schemas.microsoft.com/office/drawing/2014/main" id="{D79D8B6A-53B0-9972-5E35-D0FA333E5462}"/>
                  </a:ext>
                </a:extLst>
              </xdr:cNvPr>
              <xdr:cNvSpPr txBox="1"/>
            </xdr:nvSpPr>
            <xdr:spPr>
              <a:xfrm>
                <a:off x="12181646" y="9838508"/>
                <a:ext cx="900892" cy="33750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NECESSITÀ</a:t>
                </a:r>
              </a:p>
            </xdr:txBody>
          </xdr:sp>
          <xdr:sp macro="" textlink="CALCOLI!S34">
            <xdr:nvSpPr>
              <xdr:cNvPr id="120" name="CasellaDiTesto 119">
                <a:extLst>
                  <a:ext uri="{FF2B5EF4-FFF2-40B4-BE49-F238E27FC236}">
                    <a16:creationId xmlns:a16="http://schemas.microsoft.com/office/drawing/2014/main" id="{EB2E92EC-22D5-F208-1B67-07EF00A27A36}"/>
                  </a:ext>
                </a:extLst>
              </xdr:cNvPr>
              <xdr:cNvSpPr txBox="1"/>
            </xdr:nvSpPr>
            <xdr:spPr>
              <a:xfrm>
                <a:off x="12225409" y="10097893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B30101E0-3DD8-4C36-B8E7-1DD416E369F7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59%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45" name="Gruppo 44">
              <a:extLst>
                <a:ext uri="{FF2B5EF4-FFF2-40B4-BE49-F238E27FC236}">
                  <a16:creationId xmlns:a16="http://schemas.microsoft.com/office/drawing/2014/main" id="{752A94F3-BACD-8D61-F5F6-9951306A3D97}"/>
                </a:ext>
              </a:extLst>
            </xdr:cNvPr>
            <xdr:cNvGrpSpPr/>
          </xdr:nvGrpSpPr>
          <xdr:grpSpPr>
            <a:xfrm>
              <a:off x="13469384" y="7263414"/>
              <a:ext cx="900892" cy="551868"/>
              <a:chOff x="13329805" y="9805176"/>
              <a:chExt cx="900892" cy="561372"/>
            </a:xfrm>
          </xdr:grpSpPr>
          <xdr:sp macro="" textlink="">
            <xdr:nvSpPr>
              <xdr:cNvPr id="117" name="CasellaDiTesto 116">
                <a:extLst>
                  <a:ext uri="{FF2B5EF4-FFF2-40B4-BE49-F238E27FC236}">
                    <a16:creationId xmlns:a16="http://schemas.microsoft.com/office/drawing/2014/main" id="{8CF8E865-A3F9-67D2-75C2-41EA95A6C196}"/>
                  </a:ext>
                </a:extLst>
              </xdr:cNvPr>
              <xdr:cNvSpPr txBox="1"/>
            </xdr:nvSpPr>
            <xdr:spPr>
              <a:xfrm>
                <a:off x="13329805" y="9805176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SVAGO</a:t>
                </a:r>
              </a:p>
            </xdr:txBody>
          </xdr:sp>
          <xdr:sp macro="" textlink="CALCOLI!S35">
            <xdr:nvSpPr>
              <xdr:cNvPr id="118" name="CasellaDiTesto 117">
                <a:extLst>
                  <a:ext uri="{FF2B5EF4-FFF2-40B4-BE49-F238E27FC236}">
                    <a16:creationId xmlns:a16="http://schemas.microsoft.com/office/drawing/2014/main" id="{895477A5-0200-DC45-19D8-9313DAD0CC95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9592849-1DAA-460C-A74B-CB4C7A6E11AF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26%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50" name="Gruppo 49">
              <a:extLst>
                <a:ext uri="{FF2B5EF4-FFF2-40B4-BE49-F238E27FC236}">
                  <a16:creationId xmlns:a16="http://schemas.microsoft.com/office/drawing/2014/main" id="{709D4CD0-E54D-1A91-ECF6-FB845CDB7935}"/>
                </a:ext>
              </a:extLst>
            </xdr:cNvPr>
            <xdr:cNvGrpSpPr/>
          </xdr:nvGrpSpPr>
          <xdr:grpSpPr>
            <a:xfrm>
              <a:off x="12262806" y="7980590"/>
              <a:ext cx="900892" cy="551869"/>
              <a:chOff x="13329805" y="9805175"/>
              <a:chExt cx="900892" cy="561373"/>
            </a:xfrm>
          </xdr:grpSpPr>
          <xdr:sp macro="" textlink="">
            <xdr:nvSpPr>
              <xdr:cNvPr id="115" name="CasellaDiTesto 114">
                <a:extLst>
                  <a:ext uri="{FF2B5EF4-FFF2-40B4-BE49-F238E27FC236}">
                    <a16:creationId xmlns:a16="http://schemas.microsoft.com/office/drawing/2014/main" id="{6D59D16B-192A-EDC0-0D23-56A6DB5AE970}"/>
                  </a:ext>
                </a:extLst>
              </xdr:cNvPr>
              <xdr:cNvSpPr txBox="1"/>
            </xdr:nvSpPr>
            <xdr:spPr>
              <a:xfrm>
                <a:off x="13329805" y="9805175"/>
                <a:ext cx="900892" cy="32988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RISPARMI</a:t>
                </a:r>
              </a:p>
            </xdr:txBody>
          </xdr:sp>
          <xdr:sp macro="" textlink="CALCOLI!S37">
            <xdr:nvSpPr>
              <xdr:cNvPr id="116" name="CasellaDiTesto 115">
                <a:extLst>
                  <a:ext uri="{FF2B5EF4-FFF2-40B4-BE49-F238E27FC236}">
                    <a16:creationId xmlns:a16="http://schemas.microsoft.com/office/drawing/2014/main" id="{52F9798D-9E19-D803-32AB-8C7A0B2275E8}"/>
                  </a:ext>
                </a:extLst>
              </xdr:cNvPr>
              <xdr:cNvSpPr txBox="1"/>
            </xdr:nvSpPr>
            <xdr:spPr>
              <a:xfrm>
                <a:off x="13373568" y="10055768"/>
                <a:ext cx="813366" cy="3107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EB402E5-8FBE-4F6E-8555-8BFB415AF87A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4%</a:t>
                </a:fld>
                <a:endParaRPr lang="it-IT" sz="4000" b="1" u="none">
                  <a:latin typeface="+mn-lt"/>
                </a:endParaRPr>
              </a:p>
            </xdr:txBody>
          </xdr:sp>
        </xdr:grpSp>
        <xdr:grpSp>
          <xdr:nvGrpSpPr>
            <xdr:cNvPr id="90" name="Gruppo 89">
              <a:extLst>
                <a:ext uri="{FF2B5EF4-FFF2-40B4-BE49-F238E27FC236}">
                  <a16:creationId xmlns:a16="http://schemas.microsoft.com/office/drawing/2014/main" id="{2DFAA3F4-9DBD-5EC6-8526-0907A06C8EBD}"/>
                </a:ext>
              </a:extLst>
            </xdr:cNvPr>
            <xdr:cNvGrpSpPr/>
          </xdr:nvGrpSpPr>
          <xdr:grpSpPr>
            <a:xfrm>
              <a:off x="13352695" y="7980591"/>
              <a:ext cx="1134271" cy="551868"/>
              <a:chOff x="13289940" y="7944731"/>
              <a:chExt cx="1134271" cy="551868"/>
            </a:xfrm>
          </xdr:grpSpPr>
          <xdr:sp macro="" textlink="">
            <xdr:nvSpPr>
              <xdr:cNvPr id="91" name="CasellaDiTesto 90">
                <a:extLst>
                  <a:ext uri="{FF2B5EF4-FFF2-40B4-BE49-F238E27FC236}">
                    <a16:creationId xmlns:a16="http://schemas.microsoft.com/office/drawing/2014/main" id="{3CC783AD-E6A0-7450-FE9D-A1DCE1262BFA}"/>
                  </a:ext>
                </a:extLst>
              </xdr:cNvPr>
              <xdr:cNvSpPr txBox="1"/>
            </xdr:nvSpPr>
            <xdr:spPr>
              <a:xfrm>
                <a:off x="13289940" y="7944731"/>
                <a:ext cx="1134271" cy="3242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it-IT" sz="1200" b="1">
                    <a:solidFill>
                      <a:srgbClr val="FF0000"/>
                    </a:solidFill>
                  </a:rPr>
                  <a:t>INVESTIMENTI</a:t>
                </a:r>
              </a:p>
            </xdr:txBody>
          </xdr:sp>
          <xdr:sp macro="" textlink="CALCOLI!S38">
            <xdr:nvSpPr>
              <xdr:cNvPr id="114" name="CasellaDiTesto 113">
                <a:extLst>
                  <a:ext uri="{FF2B5EF4-FFF2-40B4-BE49-F238E27FC236}">
                    <a16:creationId xmlns:a16="http://schemas.microsoft.com/office/drawing/2014/main" id="{98DF03AD-D647-E0EA-B13B-BC0A5F80FC26}"/>
                  </a:ext>
                </a:extLst>
              </xdr:cNvPr>
              <xdr:cNvSpPr txBox="1"/>
            </xdr:nvSpPr>
            <xdr:spPr>
              <a:xfrm>
                <a:off x="13450392" y="8191080"/>
                <a:ext cx="813366" cy="3055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FD2CD0A9-9E86-408E-AE49-4AA6712ABE58}" type="TxLink">
                  <a:rPr lang="en-US" sz="2000" b="1" i="0" u="none" strike="noStrike">
                    <a:solidFill>
                      <a:srgbClr val="000000"/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it-IT" sz="4000" b="1" u="none"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39</xdr:col>
      <xdr:colOff>19050</xdr:colOff>
      <xdr:row>33</xdr:row>
      <xdr:rowOff>181033</xdr:rowOff>
    </xdr:from>
    <xdr:to>
      <xdr:col>43</xdr:col>
      <xdr:colOff>542013</xdr:colOff>
      <xdr:row>47</xdr:row>
      <xdr:rowOff>59290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55C2F369-552C-2A51-9A88-EE90EFA0E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593147</xdr:colOff>
      <xdr:row>6</xdr:row>
      <xdr:rowOff>148957</xdr:rowOff>
    </xdr:from>
    <xdr:to>
      <xdr:col>60</xdr:col>
      <xdr:colOff>40698</xdr:colOff>
      <xdr:row>22</xdr:row>
      <xdr:rowOff>90791</xdr:rowOff>
    </xdr:to>
    <xdr:grpSp>
      <xdr:nvGrpSpPr>
        <xdr:cNvPr id="159" name="Gruppo 158">
          <a:extLst>
            <a:ext uri="{FF2B5EF4-FFF2-40B4-BE49-F238E27FC236}">
              <a16:creationId xmlns:a16="http://schemas.microsoft.com/office/drawing/2014/main" id="{483D233B-E219-CBD6-D5BC-D759F1287D0C}"/>
            </a:ext>
          </a:extLst>
        </xdr:cNvPr>
        <xdr:cNvGrpSpPr/>
      </xdr:nvGrpSpPr>
      <xdr:grpSpPr>
        <a:xfrm>
          <a:off x="29244347" y="1266557"/>
          <a:ext cx="7372351" cy="2922101"/>
          <a:chOff x="29244347" y="1291957"/>
          <a:chExt cx="7372351" cy="2989834"/>
        </a:xfrm>
      </xdr:grpSpPr>
      <xdr:sp macro="" textlink="">
        <xdr:nvSpPr>
          <xdr:cNvPr id="125" name="CasellaDiTesto 124">
            <a:extLst>
              <a:ext uri="{FF2B5EF4-FFF2-40B4-BE49-F238E27FC236}">
                <a16:creationId xmlns:a16="http://schemas.microsoft.com/office/drawing/2014/main" id="{513C1522-9E67-4F46-9F25-B4EF6EE4E621}"/>
              </a:ext>
            </a:extLst>
          </xdr:cNvPr>
          <xdr:cNvSpPr txBox="1"/>
        </xdr:nvSpPr>
        <xdr:spPr>
          <a:xfrm>
            <a:off x="29244347" y="1291957"/>
            <a:ext cx="7372351" cy="913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6000" b="1" i="0" u="none" strike="noStrike">
                <a:solidFill>
                  <a:srgbClr val="000000"/>
                </a:solidFill>
                <a:latin typeface="+mn-lt"/>
                <a:cs typeface="Calibri"/>
              </a:rPr>
              <a:t>SITUAZIONE</a:t>
            </a:r>
            <a:r>
              <a:rPr lang="en-US" sz="6000" b="1" i="0" u="none" strike="noStrike" baseline="0">
                <a:solidFill>
                  <a:srgbClr val="000000"/>
                </a:solidFill>
                <a:latin typeface="+mn-lt"/>
                <a:cs typeface="Calibri"/>
              </a:rPr>
              <a:t> ATTUALE</a:t>
            </a:r>
            <a:endParaRPr lang="en-US" sz="6000" b="1" i="0" u="none" strike="noStrike">
              <a:solidFill>
                <a:srgbClr val="000000"/>
              </a:solidFill>
              <a:latin typeface="+mn-lt"/>
              <a:cs typeface="Calibri"/>
            </a:endParaRPr>
          </a:p>
        </xdr:txBody>
      </xdr:sp>
      <xdr:grpSp>
        <xdr:nvGrpSpPr>
          <xdr:cNvPr id="158" name="Gruppo 157">
            <a:extLst>
              <a:ext uri="{FF2B5EF4-FFF2-40B4-BE49-F238E27FC236}">
                <a16:creationId xmlns:a16="http://schemas.microsoft.com/office/drawing/2014/main" id="{BAD06804-EF16-9D19-5725-D54A206860AA}"/>
              </a:ext>
            </a:extLst>
          </xdr:cNvPr>
          <xdr:cNvGrpSpPr/>
        </xdr:nvGrpSpPr>
        <xdr:grpSpPr>
          <a:xfrm>
            <a:off x="29778909" y="2512616"/>
            <a:ext cx="6303227" cy="1769175"/>
            <a:chOff x="30022800" y="2512616"/>
            <a:chExt cx="6303227" cy="1769175"/>
          </a:xfrm>
        </xdr:grpSpPr>
        <xdr:grpSp>
          <xdr:nvGrpSpPr>
            <xdr:cNvPr id="136" name="Gruppo 135">
              <a:extLst>
                <a:ext uri="{FF2B5EF4-FFF2-40B4-BE49-F238E27FC236}">
                  <a16:creationId xmlns:a16="http://schemas.microsoft.com/office/drawing/2014/main" id="{FEFC7199-414C-4CF4-913A-ACFDB8C94BB1}"/>
                </a:ext>
              </a:extLst>
            </xdr:cNvPr>
            <xdr:cNvGrpSpPr/>
          </xdr:nvGrpSpPr>
          <xdr:grpSpPr>
            <a:xfrm>
              <a:off x="30022800" y="2512616"/>
              <a:ext cx="2978243" cy="1764365"/>
              <a:chOff x="5572992" y="5048497"/>
              <a:chExt cx="2978243" cy="1700273"/>
            </a:xfrm>
          </xdr:grpSpPr>
          <xdr:sp macro="" textlink="">
            <xdr:nvSpPr>
              <xdr:cNvPr id="137" name="Rettangolo con angoli arrotondati 136">
                <a:extLst>
                  <a:ext uri="{FF2B5EF4-FFF2-40B4-BE49-F238E27FC236}">
                    <a16:creationId xmlns:a16="http://schemas.microsoft.com/office/drawing/2014/main" id="{A7936597-8B5C-06C5-AF3D-C6B5CAD1B19D}"/>
                  </a:ext>
                </a:extLst>
              </xdr:cNvPr>
              <xdr:cNvSpPr/>
            </xdr:nvSpPr>
            <xdr:spPr>
              <a:xfrm>
                <a:off x="5572992" y="5048497"/>
                <a:ext cx="2978243" cy="1700273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3200"/>
              </a:p>
            </xdr:txBody>
          </xdr:sp>
          <xdr:grpSp>
            <xdr:nvGrpSpPr>
              <xdr:cNvPr id="138" name="Gruppo 137">
                <a:extLst>
                  <a:ext uri="{FF2B5EF4-FFF2-40B4-BE49-F238E27FC236}">
                    <a16:creationId xmlns:a16="http://schemas.microsoft.com/office/drawing/2014/main" id="{F389F49F-4BF3-648C-65A1-D9A5803EDF5B}"/>
                  </a:ext>
                </a:extLst>
              </xdr:cNvPr>
              <xdr:cNvGrpSpPr/>
            </xdr:nvGrpSpPr>
            <xdr:grpSpPr>
              <a:xfrm>
                <a:off x="5847465" y="5166715"/>
                <a:ext cx="2354749" cy="837551"/>
                <a:chOff x="7204939" y="3073252"/>
                <a:chExt cx="2327034" cy="817982"/>
              </a:xfrm>
              <a:noFill/>
            </xdr:grpSpPr>
            <xdr:sp macro="" textlink="">
              <xdr:nvSpPr>
                <xdr:cNvPr id="142" name="CasellaDiTesto 141">
                  <a:extLst>
                    <a:ext uri="{FF2B5EF4-FFF2-40B4-BE49-F238E27FC236}">
                      <a16:creationId xmlns:a16="http://schemas.microsoft.com/office/drawing/2014/main" id="{E3842B51-73E7-8445-ADD5-88FC7FBEA0A6}"/>
                    </a:ext>
                  </a:extLst>
                </xdr:cNvPr>
                <xdr:cNvSpPr txBox="1"/>
              </xdr:nvSpPr>
              <xdr:spPr>
                <a:xfrm>
                  <a:off x="7204941" y="3073252"/>
                  <a:ext cx="2327032" cy="41201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2000" b="1">
                      <a:solidFill>
                        <a:schemeClr val="accent2">
                          <a:lumMod val="75000"/>
                        </a:schemeClr>
                      </a:solidFill>
                    </a:rPr>
                    <a:t>GIACENZA</a:t>
                  </a:r>
                </a:p>
              </xdr:txBody>
            </xdr:sp>
            <xdr:sp macro="" textlink="CALCOLI!N49">
              <xdr:nvSpPr>
                <xdr:cNvPr id="143" name="CasellaDiTesto 142">
                  <a:extLst>
                    <a:ext uri="{FF2B5EF4-FFF2-40B4-BE49-F238E27FC236}">
                      <a16:creationId xmlns:a16="http://schemas.microsoft.com/office/drawing/2014/main" id="{C4B74EE0-0FD6-607B-2FC7-D0401811714F}"/>
                    </a:ext>
                  </a:extLst>
                </xdr:cNvPr>
                <xdr:cNvSpPr txBox="1"/>
              </xdr:nvSpPr>
              <xdr:spPr>
                <a:xfrm>
                  <a:off x="7204939" y="3473454"/>
                  <a:ext cx="2327031" cy="41778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3610957-BB1E-40CF-B90D-E8F960C98B3C}" type="TxLink">
                    <a:rPr lang="en-US" sz="3600" b="1" i="0" u="none" strike="noStrike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cs typeface="Calibri"/>
                    </a:rPr>
                    <a:pPr algn="ctr"/>
                    <a:t>1.494,19 €</a:t>
                  </a:fld>
                  <a:endParaRPr lang="it-IT" sz="3600" b="1" u="none">
                    <a:solidFill>
                      <a:schemeClr val="accent2">
                        <a:lumMod val="75000"/>
                      </a:schemeClr>
                    </a:solidFill>
                    <a:latin typeface="+mn-lt"/>
                  </a:endParaRPr>
                </a:p>
              </xdr:txBody>
            </xdr:sp>
          </xdr:grpSp>
          <xdr:grpSp>
            <xdr:nvGrpSpPr>
              <xdr:cNvPr id="139" name="Gruppo 138">
                <a:extLst>
                  <a:ext uri="{FF2B5EF4-FFF2-40B4-BE49-F238E27FC236}">
                    <a16:creationId xmlns:a16="http://schemas.microsoft.com/office/drawing/2014/main" id="{4AD122C7-3551-B943-5D28-24B41EE83644}"/>
                  </a:ext>
                </a:extLst>
              </xdr:cNvPr>
              <xdr:cNvGrpSpPr/>
            </xdr:nvGrpSpPr>
            <xdr:grpSpPr>
              <a:xfrm>
                <a:off x="6248513" y="6023230"/>
                <a:ext cx="1552653" cy="600392"/>
                <a:chOff x="5786496" y="6038375"/>
                <a:chExt cx="1552653" cy="601812"/>
              </a:xfrm>
              <a:noFill/>
            </xdr:grpSpPr>
            <xdr:sp macro="" textlink="">
              <xdr:nvSpPr>
                <xdr:cNvPr id="140" name="CasellaDiTesto 139">
                  <a:extLst>
                    <a:ext uri="{FF2B5EF4-FFF2-40B4-BE49-F238E27FC236}">
                      <a16:creationId xmlns:a16="http://schemas.microsoft.com/office/drawing/2014/main" id="{ED11B5EF-687E-599F-AB95-D5A7E6AE8E80}"/>
                    </a:ext>
                  </a:extLst>
                </xdr:cNvPr>
                <xdr:cNvSpPr txBox="1"/>
              </xdr:nvSpPr>
              <xdr:spPr>
                <a:xfrm>
                  <a:off x="5931241" y="6038375"/>
                  <a:ext cx="1178550" cy="35620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1200" b="1"/>
                    <a:t>DISPONIBILITÀ</a:t>
                  </a:r>
                </a:p>
              </xdr:txBody>
            </xdr:sp>
            <xdr:sp macro="" textlink="CALCOLI!N51">
              <xdr:nvSpPr>
                <xdr:cNvPr id="141" name="CasellaDiTesto 140">
                  <a:extLst>
                    <a:ext uri="{FF2B5EF4-FFF2-40B4-BE49-F238E27FC236}">
                      <a16:creationId xmlns:a16="http://schemas.microsoft.com/office/drawing/2014/main" id="{7DAE1799-38FC-130A-473C-F23B0696614E}"/>
                    </a:ext>
                  </a:extLst>
                </xdr:cNvPr>
                <xdr:cNvSpPr txBox="1"/>
              </xdr:nvSpPr>
              <xdr:spPr>
                <a:xfrm>
                  <a:off x="5786496" y="6314636"/>
                  <a:ext cx="1552653" cy="32555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D35CB6A7-3526-47FF-951F-9A5CDFC9D325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ctr"/>
                    <a:t>1.594,19 €</a:t>
                  </a:fld>
                  <a:endParaRPr lang="it-IT" sz="2000" b="1" u="none">
                    <a:latin typeface="+mn-lt"/>
                  </a:endParaRPr>
                </a:p>
              </xdr:txBody>
            </xdr:sp>
          </xdr:grpSp>
        </xdr:grpSp>
        <xdr:grpSp>
          <xdr:nvGrpSpPr>
            <xdr:cNvPr id="144" name="Gruppo 143">
              <a:extLst>
                <a:ext uri="{FF2B5EF4-FFF2-40B4-BE49-F238E27FC236}">
                  <a16:creationId xmlns:a16="http://schemas.microsoft.com/office/drawing/2014/main" id="{4C892AA9-C169-42C8-8245-3781951D7905}"/>
                </a:ext>
              </a:extLst>
            </xdr:cNvPr>
            <xdr:cNvGrpSpPr/>
          </xdr:nvGrpSpPr>
          <xdr:grpSpPr>
            <a:xfrm>
              <a:off x="33347784" y="2512616"/>
              <a:ext cx="2978243" cy="1769175"/>
              <a:chOff x="6939617" y="2934515"/>
              <a:chExt cx="2942384" cy="1637486"/>
            </a:xfrm>
          </xdr:grpSpPr>
          <xdr:sp macro="" textlink="">
            <xdr:nvSpPr>
              <xdr:cNvPr id="146" name="Rettangolo con angoli arrotondati 145">
                <a:extLst>
                  <a:ext uri="{FF2B5EF4-FFF2-40B4-BE49-F238E27FC236}">
                    <a16:creationId xmlns:a16="http://schemas.microsoft.com/office/drawing/2014/main" id="{81C741AD-FBEF-575B-CAD9-F5CF75747BE5}"/>
                  </a:ext>
                </a:extLst>
              </xdr:cNvPr>
              <xdr:cNvSpPr/>
            </xdr:nvSpPr>
            <xdr:spPr>
              <a:xfrm>
                <a:off x="6939617" y="2934515"/>
                <a:ext cx="2942384" cy="1637486"/>
              </a:xfrm>
              <a:prstGeom prst="roundRect">
                <a:avLst/>
              </a:prstGeom>
              <a:solidFill>
                <a:schemeClr val="bg1"/>
              </a:solidFill>
              <a:ln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it-IT" sz="3200"/>
              </a:p>
            </xdr:txBody>
          </xdr:sp>
          <xdr:grpSp>
            <xdr:nvGrpSpPr>
              <xdr:cNvPr id="148" name="Gruppo 147">
                <a:extLst>
                  <a:ext uri="{FF2B5EF4-FFF2-40B4-BE49-F238E27FC236}">
                    <a16:creationId xmlns:a16="http://schemas.microsoft.com/office/drawing/2014/main" id="{542DCD0F-5550-5B44-AC90-DC7FB3C74D47}"/>
                  </a:ext>
                </a:extLst>
              </xdr:cNvPr>
              <xdr:cNvGrpSpPr/>
            </xdr:nvGrpSpPr>
            <xdr:grpSpPr>
              <a:xfrm>
                <a:off x="7210784" y="3048082"/>
                <a:ext cx="2326397" cy="806879"/>
                <a:chOff x="7204939" y="3073252"/>
                <a:chExt cx="2327034" cy="817982"/>
              </a:xfrm>
            </xdr:grpSpPr>
            <xdr:sp macro="" textlink="">
              <xdr:nvSpPr>
                <xdr:cNvPr id="156" name="CasellaDiTesto 155">
                  <a:extLst>
                    <a:ext uri="{FF2B5EF4-FFF2-40B4-BE49-F238E27FC236}">
                      <a16:creationId xmlns:a16="http://schemas.microsoft.com/office/drawing/2014/main" id="{E1A71573-3A12-C8D1-D484-74C94366CE69}"/>
                    </a:ext>
                  </a:extLst>
                </xdr:cNvPr>
                <xdr:cNvSpPr txBox="1"/>
              </xdr:nvSpPr>
              <xdr:spPr>
                <a:xfrm>
                  <a:off x="7204941" y="3073252"/>
                  <a:ext cx="2327032" cy="41201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it-IT" sz="2000" b="1">
                      <a:solidFill>
                        <a:schemeClr val="accent1"/>
                      </a:solidFill>
                    </a:rPr>
                    <a:t>RISPARMI</a:t>
                  </a:r>
                </a:p>
              </xdr:txBody>
            </xdr:sp>
            <xdr:sp macro="" textlink="CALCOLI!N53">
              <xdr:nvSpPr>
                <xdr:cNvPr id="157" name="CasellaDiTesto 156">
                  <a:extLst>
                    <a:ext uri="{FF2B5EF4-FFF2-40B4-BE49-F238E27FC236}">
                      <a16:creationId xmlns:a16="http://schemas.microsoft.com/office/drawing/2014/main" id="{5878BFD8-E5DB-1BD6-A058-47F85EE97490}"/>
                    </a:ext>
                  </a:extLst>
                </xdr:cNvPr>
                <xdr:cNvSpPr txBox="1"/>
              </xdr:nvSpPr>
              <xdr:spPr>
                <a:xfrm>
                  <a:off x="7204939" y="3473454"/>
                  <a:ext cx="2327031" cy="41778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B0085155-DE72-4CCF-8758-5E77F51B9751}" type="TxLink">
                    <a:rPr lang="en-US" sz="2000" b="1" i="0" u="none" strike="noStrike">
                      <a:solidFill>
                        <a:srgbClr val="000000"/>
                      </a:solidFill>
                      <a:latin typeface="+mn-lt"/>
                      <a:cs typeface="Calibri"/>
                    </a:rPr>
                    <a:pPr algn="ctr"/>
                    <a:t>100,00 €</a:t>
                  </a:fld>
                  <a:endParaRPr lang="it-IT" sz="2000" b="1" u="none">
                    <a:solidFill>
                      <a:schemeClr val="accent1"/>
                    </a:solidFill>
                    <a:latin typeface="+mn-lt"/>
                  </a:endParaRPr>
                </a:p>
              </xdr:txBody>
            </xdr:sp>
          </xdr:grpSp>
        </xdr:grpSp>
      </xdr:grpSp>
    </xdr:grpSp>
    <xdr:clientData/>
  </xdr:twoCellAnchor>
  <xdr:twoCellAnchor>
    <xdr:from>
      <xdr:col>19</xdr:col>
      <xdr:colOff>449060</xdr:colOff>
      <xdr:row>42</xdr:row>
      <xdr:rowOff>33761</xdr:rowOff>
    </xdr:from>
    <xdr:to>
      <xdr:col>24</xdr:col>
      <xdr:colOff>382461</xdr:colOff>
      <xdr:row>45</xdr:row>
      <xdr:rowOff>56456</xdr:rowOff>
    </xdr:to>
    <xdr:grpSp>
      <xdr:nvGrpSpPr>
        <xdr:cNvPr id="107" name="Gruppo 106">
          <a:extLst>
            <a:ext uri="{FF2B5EF4-FFF2-40B4-BE49-F238E27FC236}">
              <a16:creationId xmlns:a16="http://schemas.microsoft.com/office/drawing/2014/main" id="{6422AC49-4077-4CD3-3D6E-D5A3B4575BDB}"/>
            </a:ext>
          </a:extLst>
        </xdr:cNvPr>
        <xdr:cNvGrpSpPr/>
      </xdr:nvGrpSpPr>
      <xdr:grpSpPr>
        <a:xfrm>
          <a:off x="12031460" y="7856961"/>
          <a:ext cx="2981401" cy="581495"/>
          <a:chOff x="12006220" y="7714721"/>
          <a:chExt cx="2981401" cy="571335"/>
        </a:xfrm>
      </xdr:grpSpPr>
      <xdr:grpSp>
        <xdr:nvGrpSpPr>
          <xdr:cNvPr id="2048" name="Gruppo 2047">
            <a:extLst>
              <a:ext uri="{FF2B5EF4-FFF2-40B4-BE49-F238E27FC236}">
                <a16:creationId xmlns:a16="http://schemas.microsoft.com/office/drawing/2014/main" id="{3C6A6DF1-2BDE-87BA-ACC3-2132F7C9B52B}"/>
              </a:ext>
            </a:extLst>
          </xdr:cNvPr>
          <xdr:cNvGrpSpPr/>
        </xdr:nvGrpSpPr>
        <xdr:grpSpPr>
          <a:xfrm>
            <a:off x="12006220" y="7714721"/>
            <a:ext cx="900892" cy="571335"/>
            <a:chOff x="12181646" y="9838508"/>
            <a:chExt cx="900892" cy="570165"/>
          </a:xfrm>
        </xdr:grpSpPr>
        <xdr:sp macro="" textlink="">
          <xdr:nvSpPr>
            <xdr:cNvPr id="40" name="CasellaDiTesto 39">
              <a:extLst>
                <a:ext uri="{FF2B5EF4-FFF2-40B4-BE49-F238E27FC236}">
                  <a16:creationId xmlns:a16="http://schemas.microsoft.com/office/drawing/2014/main" id="{1C5179D8-BBF5-0EE7-16BA-A901ED4F1AB9}"/>
                </a:ext>
              </a:extLst>
            </xdr:cNvPr>
            <xdr:cNvSpPr txBox="1"/>
          </xdr:nvSpPr>
          <xdr:spPr>
            <a:xfrm>
              <a:off x="12181646" y="9838508"/>
              <a:ext cx="900892" cy="3375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>
                  <a:solidFill>
                    <a:srgbClr val="FF0000"/>
                  </a:solidFill>
                </a:rPr>
                <a:t>NECESSITÀ</a:t>
              </a:r>
            </a:p>
          </xdr:txBody>
        </xdr:sp>
        <xdr:sp macro="" textlink="CALCOLI!S18">
          <xdr:nvSpPr>
            <xdr:cNvPr id="41" name="CasellaDiTesto 40">
              <a:extLst>
                <a:ext uri="{FF2B5EF4-FFF2-40B4-BE49-F238E27FC236}">
                  <a16:creationId xmlns:a16="http://schemas.microsoft.com/office/drawing/2014/main" id="{EB899DB1-0C57-7873-5609-BB85E60AFACA}"/>
                </a:ext>
              </a:extLst>
            </xdr:cNvPr>
            <xdr:cNvSpPr txBox="1"/>
          </xdr:nvSpPr>
          <xdr:spPr>
            <a:xfrm>
              <a:off x="12225409" y="10097893"/>
              <a:ext cx="813366" cy="310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09E0C3E-8A6C-47B7-957F-6E53CC3AE3C3}" type="TxLink">
                <a:rPr lang="en-US" sz="2000" b="1" i="0" u="none" strike="noStrike">
                  <a:solidFill>
                    <a:srgbClr val="000000"/>
                  </a:solidFill>
                  <a:latin typeface="Aptos Narrow (Corpo)"/>
                  <a:cs typeface="Calibri"/>
                </a:rPr>
                <a:pPr algn="ctr"/>
                <a:t>57%</a:t>
              </a:fld>
              <a:endParaRPr lang="it-IT" sz="2000" b="1" u="none">
                <a:latin typeface="Aptos Narrow (Corpo)"/>
              </a:endParaRPr>
            </a:p>
          </xdr:txBody>
        </xdr:sp>
      </xdr:grpSp>
      <xdr:grpSp>
        <xdr:nvGrpSpPr>
          <xdr:cNvPr id="255" name="Gruppo 254">
            <a:extLst>
              <a:ext uri="{FF2B5EF4-FFF2-40B4-BE49-F238E27FC236}">
                <a16:creationId xmlns:a16="http://schemas.microsoft.com/office/drawing/2014/main" id="{DA025735-2969-1D93-5273-7953D4E99009}"/>
              </a:ext>
            </a:extLst>
          </xdr:cNvPr>
          <xdr:cNvGrpSpPr/>
        </xdr:nvGrpSpPr>
        <xdr:grpSpPr>
          <a:xfrm>
            <a:off x="13046474" y="7719043"/>
            <a:ext cx="900892" cy="562690"/>
            <a:chOff x="13329805" y="9805176"/>
            <a:chExt cx="900892" cy="561372"/>
          </a:xfrm>
        </xdr:grpSpPr>
        <xdr:sp macro="" textlink="">
          <xdr:nvSpPr>
            <xdr:cNvPr id="253" name="CasellaDiTesto 252">
              <a:extLst>
                <a:ext uri="{FF2B5EF4-FFF2-40B4-BE49-F238E27FC236}">
                  <a16:creationId xmlns:a16="http://schemas.microsoft.com/office/drawing/2014/main" id="{D54A298C-A111-4CD5-AA31-A835A7997F75}"/>
                </a:ext>
              </a:extLst>
            </xdr:cNvPr>
            <xdr:cNvSpPr txBox="1"/>
          </xdr:nvSpPr>
          <xdr:spPr>
            <a:xfrm>
              <a:off x="13329805" y="9805176"/>
              <a:ext cx="900892" cy="32988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>
                  <a:solidFill>
                    <a:srgbClr val="FF0000"/>
                  </a:solidFill>
                </a:rPr>
                <a:t>SVAGO</a:t>
              </a:r>
            </a:p>
          </xdr:txBody>
        </xdr:sp>
        <xdr:sp macro="" textlink="CALCOLI!S19">
          <xdr:nvSpPr>
            <xdr:cNvPr id="254" name="CasellaDiTesto 253">
              <a:extLst>
                <a:ext uri="{FF2B5EF4-FFF2-40B4-BE49-F238E27FC236}">
                  <a16:creationId xmlns:a16="http://schemas.microsoft.com/office/drawing/2014/main" id="{08BCAC4D-9A41-4537-B086-C779098E8043}"/>
                </a:ext>
              </a:extLst>
            </xdr:cNvPr>
            <xdr:cNvSpPr txBox="1"/>
          </xdr:nvSpPr>
          <xdr:spPr>
            <a:xfrm>
              <a:off x="13373568" y="10055768"/>
              <a:ext cx="813366" cy="310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B59ECA6-4699-44CF-AECF-ED39C3C4B393}" type="TxLink">
                <a:rPr lang="en-US" sz="2000" b="1" i="0" u="none" strike="noStrike">
                  <a:solidFill>
                    <a:srgbClr val="000000"/>
                  </a:solidFill>
                  <a:latin typeface="Aptos Narrow (Corpo)"/>
                  <a:cs typeface="Calibri"/>
                </a:rPr>
                <a:pPr algn="ctr"/>
                <a:t>9%</a:t>
              </a:fld>
              <a:endParaRPr lang="it-IT" sz="2000" b="1" u="none">
                <a:latin typeface="Aptos Narrow (Corpo)"/>
              </a:endParaRPr>
            </a:p>
          </xdr:txBody>
        </xdr:sp>
      </xdr:grpSp>
      <xdr:grpSp>
        <xdr:nvGrpSpPr>
          <xdr:cNvPr id="2" name="Gruppo 1">
            <a:extLst>
              <a:ext uri="{FF2B5EF4-FFF2-40B4-BE49-F238E27FC236}">
                <a16:creationId xmlns:a16="http://schemas.microsoft.com/office/drawing/2014/main" id="{AE87B7A5-3F70-4CBE-8284-280B2A71BCFD}"/>
              </a:ext>
            </a:extLst>
          </xdr:cNvPr>
          <xdr:cNvGrpSpPr/>
        </xdr:nvGrpSpPr>
        <xdr:grpSpPr>
          <a:xfrm>
            <a:off x="14086729" y="7714721"/>
            <a:ext cx="900892" cy="571335"/>
            <a:chOff x="12181646" y="9838508"/>
            <a:chExt cx="900892" cy="570165"/>
          </a:xfrm>
        </xdr:grpSpPr>
        <xdr:sp macro="" textlink="">
          <xdr:nvSpPr>
            <xdr:cNvPr id="22" name="CasellaDiTesto 21">
              <a:extLst>
                <a:ext uri="{FF2B5EF4-FFF2-40B4-BE49-F238E27FC236}">
                  <a16:creationId xmlns:a16="http://schemas.microsoft.com/office/drawing/2014/main" id="{17F108AD-1BD6-6434-84D3-CE058FD6A73F}"/>
                </a:ext>
              </a:extLst>
            </xdr:cNvPr>
            <xdr:cNvSpPr txBox="1"/>
          </xdr:nvSpPr>
          <xdr:spPr>
            <a:xfrm>
              <a:off x="12181646" y="9838508"/>
              <a:ext cx="900892" cy="33750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it-IT" sz="1200" b="1">
                  <a:solidFill>
                    <a:srgbClr val="FF0000"/>
                  </a:solidFill>
                </a:rPr>
                <a:t>DA RIMB.</a:t>
              </a:r>
            </a:p>
          </xdr:txBody>
        </xdr:sp>
        <xdr:sp macro="" textlink="CALCOLI!S20">
          <xdr:nvSpPr>
            <xdr:cNvPr id="24" name="CasellaDiTesto 23">
              <a:extLst>
                <a:ext uri="{FF2B5EF4-FFF2-40B4-BE49-F238E27FC236}">
                  <a16:creationId xmlns:a16="http://schemas.microsoft.com/office/drawing/2014/main" id="{501BFD33-DA9C-7B4F-0601-C7A8B5F3A554}"/>
                </a:ext>
              </a:extLst>
            </xdr:cNvPr>
            <xdr:cNvSpPr txBox="1"/>
          </xdr:nvSpPr>
          <xdr:spPr>
            <a:xfrm>
              <a:off x="12225409" y="10097893"/>
              <a:ext cx="813366" cy="31078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7CFF3E9-6A0F-44BF-8E70-DDCBB5C7B862}" type="TxLink">
                <a:rPr lang="en-US" sz="2000" b="1" i="0" u="none" strike="noStrike">
                  <a:solidFill>
                    <a:srgbClr val="000000"/>
                  </a:solidFill>
                  <a:latin typeface="+mn-lt"/>
                  <a:ea typeface="Calibri"/>
                  <a:cs typeface="Calibri"/>
                </a:rPr>
                <a:t>3%</a:t>
              </a:fld>
              <a:endParaRPr lang="it-IT" sz="2000" b="1" u="none">
                <a:latin typeface="+mn-lt"/>
              </a:endParaRPr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22860</xdr:colOff>
          <xdr:row>30</xdr:row>
          <xdr:rowOff>53340</xdr:rowOff>
        </xdr:from>
        <xdr:to>
          <xdr:col>26</xdr:col>
          <xdr:colOff>982980</xdr:colOff>
          <xdr:row>32</xdr:row>
          <xdr:rowOff>68580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2197697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filtro_tbl_entrat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entr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629" y="282083"/>
              <a:ext cx="7270439" cy="1510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472440</xdr:colOff>
          <xdr:row>9</xdr:row>
          <xdr:rowOff>114300</xdr:rowOff>
        </xdr:from>
        <xdr:to>
          <xdr:col>11</xdr:col>
          <xdr:colOff>0</xdr:colOff>
          <xdr:row>11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91855</xdr:rowOff>
    </xdr:from>
    <xdr:to>
      <xdr:col>8</xdr:col>
      <xdr:colOff>467445</xdr:colOff>
      <xdr:row>9</xdr:row>
      <xdr:rowOff>97673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spese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spe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7262756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601980</xdr:colOff>
          <xdr:row>11</xdr:row>
          <xdr:rowOff>167640</xdr:rowOff>
        </xdr:from>
        <xdr:to>
          <xdr:col>17</xdr:col>
          <xdr:colOff>22860</xdr:colOff>
          <xdr:row>14</xdr:row>
          <xdr:rowOff>30480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6</xdr:col>
      <xdr:colOff>1819836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investimenti 1">
              <a:extLst>
                <a:ext uri="{FF2B5EF4-FFF2-40B4-BE49-F238E27FC236}">
                  <a16:creationId xmlns:a16="http://schemas.microsoft.com/office/drawing/2014/main" id="{84C37642-9360-40EE-8481-48F22F4957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investimenti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6409765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449580</xdr:colOff>
          <xdr:row>9</xdr:row>
          <xdr:rowOff>121920</xdr:rowOff>
        </xdr:from>
        <xdr:to>
          <xdr:col>11</xdr:col>
          <xdr:colOff>1303020</xdr:colOff>
          <xdr:row>11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8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44824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filtro_tbl_investimenti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_tbl_investimenti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92629" y="282083"/>
              <a:ext cx="6412966" cy="1510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449580</xdr:colOff>
          <xdr:row>8</xdr:row>
          <xdr:rowOff>99060</xdr:rowOff>
        </xdr:from>
        <xdr:to>
          <xdr:col>10</xdr:col>
          <xdr:colOff>45720</xdr:colOff>
          <xdr:row>10</xdr:row>
          <xdr:rowOff>121920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579120</xdr:colOff>
          <xdr:row>11</xdr:row>
          <xdr:rowOff>45720</xdr:rowOff>
        </xdr:from>
        <xdr:to>
          <xdr:col>9</xdr:col>
          <xdr:colOff>563880</xdr:colOff>
          <xdr:row>13</xdr:row>
          <xdr:rowOff>68580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SOTTRAI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86140</xdr:rowOff>
    </xdr:from>
    <xdr:to>
      <xdr:col>5</xdr:col>
      <xdr:colOff>2197697</xdr:colOff>
      <xdr:row>9</xdr:row>
      <xdr:rowOff>94423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Mese 3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7506" y="274399"/>
              <a:ext cx="7262756" cy="14605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 di tabella. I filtri dei dati di tabella non sono supportati in questa versione di Excel
Se la forma è stata modificata in una versione precedente di Excel o se la cartella di lavoro è stata salvata in Excel 2007 o versione precedente, non è possibile usare il filtro dei dati.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419100</xdr:colOff>
          <xdr:row>9</xdr:row>
          <xdr:rowOff>106680</xdr:rowOff>
        </xdr:from>
        <xdr:to>
          <xdr:col>11</xdr:col>
          <xdr:colOff>0</xdr:colOff>
          <xdr:row>11</xdr:row>
          <xdr:rowOff>137160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A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662940</xdr:colOff>
          <xdr:row>12</xdr:row>
          <xdr:rowOff>53340</xdr:rowOff>
        </xdr:from>
        <xdr:to>
          <xdr:col>10</xdr:col>
          <xdr:colOff>670560</xdr:colOff>
          <xdr:row>14</xdr:row>
          <xdr:rowOff>83820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A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SOTTRAI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ce Dario" refreshedDate="45944.50731724537" createdVersion="8" refreshedVersion="8" minRefreshableVersion="3" recordCount="93" xr:uid="{F050FD2B-65AB-4A28-8D63-9C1DA1123F9B}">
  <cacheSource type="worksheet">
    <worksheetSource name="tbl_spese_compilazione"/>
  </cacheSource>
  <cacheFields count="13">
    <cacheField name="SP_ID" numFmtId="0">
      <sharedItems containsSemiMixedTypes="0" containsString="0" containsNumber="1" containsInteger="1" minValue="1" maxValue="93"/>
    </cacheField>
    <cacheField name="Data" numFmtId="0">
      <sharedItems containsSemiMixedTypes="0" containsNonDate="0" containsDate="1" containsString="0" minDate="2002-09-19T00:00:00" maxDate="2025-12-02T00:00:00"/>
    </cacheField>
    <cacheField name="Mese" numFmtId="0">
      <sharedItems count="12">
        <s v="ottobre"/>
        <s v="settembre"/>
        <s v="dicembre"/>
        <s v="novembre"/>
        <s v="agosto"/>
        <s v="luglio"/>
        <s v="giugno"/>
        <s v="maggio"/>
        <s v="aprile"/>
        <s v="marzo"/>
        <s v="febbraio"/>
        <s v="gennaio"/>
      </sharedItems>
    </cacheField>
    <cacheField name="Categoria" numFmtId="0">
      <sharedItems containsBlank="1" count="10">
        <s v="rimborso"/>
        <s v="banca"/>
        <s v="spese quotidiane"/>
        <s v="svago"/>
        <s v="casa"/>
        <s v="trasporto"/>
        <s v="altro"/>
        <s v="abbonamenti"/>
        <m/>
        <s v="figlio" u="1"/>
      </sharedItems>
    </cacheField>
    <cacheField name="Sottocategoria" numFmtId="0">
      <sharedItems containsBlank="1" count="27">
        <s v="lavoro"/>
        <s v="finanziamento/prestito"/>
        <s v="negozi"/>
        <s v="commissioni"/>
        <s v="bar"/>
        <s v="ristorante/pizzeria"/>
        <s v="elettronica/elettrodomestici"/>
        <s v="assicurazione"/>
        <s v="manutenzione/lavaggio"/>
        <s v="carburante"/>
        <m/>
        <s v="viaggio"/>
        <s v="sport"/>
        <s v="generi alimentari"/>
        <s v="bus/taxi/treno"/>
        <s v="vestiario"/>
        <s v="pedaggio"/>
        <s v="altro"/>
        <s v="regalo"/>
        <s v="parcheggio"/>
        <s v="cinese/negozi" u="1"/>
        <s v="pranzo lavoro" u="1"/>
        <s v="luce" u="1"/>
        <s v="gas" u="1"/>
        <s v="condominio" u="1"/>
        <s v="acqua" u="1"/>
        <s v="libri" u="1"/>
      </sharedItems>
    </cacheField>
    <cacheField name="Euro Lordo" numFmtId="0">
      <sharedItems containsSemiMixedTypes="0" containsString="0" containsNumber="1" minValue="0" maxValue="736.46"/>
    </cacheField>
    <cacheField name="Rimborso tot" numFmtId="0">
      <sharedItems containsSemiMixedTypes="0" containsString="0" containsNumber="1" minValue="0" maxValue="830"/>
    </cacheField>
    <cacheField name="Euro Netto" numFmtId="0">
      <sharedItems containsSemiMixedTypes="0" containsString="0" containsNumber="1" minValue="0" maxValue="451.36"/>
    </cacheField>
    <cacheField name="Eccedenze" numFmtId="164">
      <sharedItems containsSemiMixedTypes="0" containsString="0" containsNumber="1" minValue="0" maxValue="93.539999999999964"/>
    </cacheField>
    <cacheField name="Rimborso" numFmtId="0">
      <sharedItems containsBlank="1"/>
    </cacheField>
    <cacheField name="Note" numFmtId="0">
      <sharedItems containsBlank="1"/>
    </cacheField>
    <cacheField name="Pagamento" numFmtId="0">
      <sharedItems containsBlank="1" count="6">
        <s v="revolut"/>
        <s v="bnl"/>
        <s v="contanti"/>
        <s v="postepay"/>
        <m/>
        <s v="postapay" u="1"/>
      </sharedItems>
    </cacheField>
    <cacheField name="Intestatario" numFmtId="0">
      <sharedItems containsBlank="1" count="3">
        <s v="Felice"/>
        <m/>
        <s v="elena" u="1"/>
      </sharedItems>
    </cacheField>
  </cacheFields>
  <extLst>
    <ext xmlns:x14="http://schemas.microsoft.com/office/spreadsheetml/2009/9/main" uri="{725AE2AE-9491-48be-B2B4-4EB974FC3084}">
      <x14:pivotCacheDefinition pivotCacheId="1535571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n v="93"/>
    <d v="2025-10-13T00:00:00"/>
    <x v="0"/>
    <x v="0"/>
    <x v="0"/>
    <n v="22.4"/>
    <n v="0"/>
    <n v="22.4"/>
    <n v="0"/>
    <m/>
    <s v="brindiamo bar"/>
    <x v="0"/>
    <x v="0"/>
  </r>
  <r>
    <n v="92"/>
    <d v="2025-10-13T00:00:00"/>
    <x v="0"/>
    <x v="1"/>
    <x v="1"/>
    <n v="250"/>
    <n v="0"/>
    <n v="250"/>
    <n v="0"/>
    <s v="si"/>
    <s v="Pasquale"/>
    <x v="1"/>
    <x v="0"/>
  </r>
  <r>
    <n v="91"/>
    <d v="2025-10-13T00:00:00"/>
    <x v="0"/>
    <x v="2"/>
    <x v="2"/>
    <n v="23.95"/>
    <n v="0"/>
    <n v="23.95"/>
    <n v="0"/>
    <m/>
    <s v="temu"/>
    <x v="0"/>
    <x v="0"/>
  </r>
  <r>
    <n v="90"/>
    <d v="2025-10-12T00:00:00"/>
    <x v="0"/>
    <x v="1"/>
    <x v="3"/>
    <n v="1"/>
    <n v="0"/>
    <n v="1"/>
    <n v="0"/>
    <m/>
    <m/>
    <x v="1"/>
    <x v="0"/>
  </r>
  <r>
    <n v="89"/>
    <d v="2025-10-12T00:00:00"/>
    <x v="0"/>
    <x v="3"/>
    <x v="4"/>
    <n v="2"/>
    <n v="0"/>
    <n v="2"/>
    <n v="0"/>
    <m/>
    <m/>
    <x v="0"/>
    <x v="0"/>
  </r>
  <r>
    <n v="88"/>
    <d v="2025-10-12T00:00:00"/>
    <x v="0"/>
    <x v="3"/>
    <x v="5"/>
    <n v="13.55"/>
    <n v="0"/>
    <n v="13.55"/>
    <n v="0"/>
    <m/>
    <s v="mc donald"/>
    <x v="0"/>
    <x v="0"/>
  </r>
  <r>
    <n v="87"/>
    <d v="2025-10-11T00:00:00"/>
    <x v="0"/>
    <x v="3"/>
    <x v="5"/>
    <n v="158.5"/>
    <n v="127"/>
    <n v="31.5"/>
    <n v="0"/>
    <m/>
    <s v="i caporale"/>
    <x v="2"/>
    <x v="0"/>
  </r>
  <r>
    <n v="86"/>
    <d v="2025-10-11T00:00:00"/>
    <x v="0"/>
    <x v="4"/>
    <x v="6"/>
    <n v="451.36"/>
    <n v="0"/>
    <n v="451.36"/>
    <n v="0"/>
    <m/>
    <s v="Tablet s9"/>
    <x v="1"/>
    <x v="0"/>
  </r>
  <r>
    <n v="85"/>
    <d v="2025-10-11T00:00:00"/>
    <x v="0"/>
    <x v="1"/>
    <x v="3"/>
    <n v="1"/>
    <n v="0"/>
    <n v="1"/>
    <n v="0"/>
    <m/>
    <m/>
    <x v="1"/>
    <x v="0"/>
  </r>
  <r>
    <n v="84"/>
    <d v="2025-10-13T00:00:00"/>
    <x v="0"/>
    <x v="1"/>
    <x v="7"/>
    <n v="3.9"/>
    <n v="0"/>
    <n v="3.9"/>
    <n v="0"/>
    <m/>
    <m/>
    <x v="1"/>
    <x v="0"/>
  </r>
  <r>
    <n v="83"/>
    <d v="2025-10-09T00:00:00"/>
    <x v="0"/>
    <x v="5"/>
    <x v="8"/>
    <n v="36"/>
    <n v="18"/>
    <n v="18"/>
    <n v="0"/>
    <m/>
    <s v="twingo"/>
    <x v="0"/>
    <x v="0"/>
  </r>
  <r>
    <n v="82"/>
    <d v="2025-10-09T00:00:00"/>
    <x v="0"/>
    <x v="0"/>
    <x v="0"/>
    <n v="10"/>
    <n v="0"/>
    <n v="10"/>
    <n v="0"/>
    <m/>
    <s v="brindiamo bar"/>
    <x v="0"/>
    <x v="0"/>
  </r>
  <r>
    <n v="81"/>
    <d v="2025-10-08T00:00:00"/>
    <x v="0"/>
    <x v="5"/>
    <x v="9"/>
    <n v="15.19"/>
    <n v="10"/>
    <n v="5.1899999999999995"/>
    <n v="0"/>
    <m/>
    <s v="twingo"/>
    <x v="0"/>
    <x v="0"/>
  </r>
  <r>
    <n v="80"/>
    <d v="2025-10-08T00:00:00"/>
    <x v="0"/>
    <x v="6"/>
    <x v="10"/>
    <n v="8.5500000000000007"/>
    <n v="0"/>
    <n v="8.5500000000000007"/>
    <n v="0"/>
    <m/>
    <m/>
    <x v="2"/>
    <x v="0"/>
  </r>
  <r>
    <n v="79"/>
    <d v="2025-10-06T00:00:00"/>
    <x v="0"/>
    <x v="2"/>
    <x v="2"/>
    <n v="25.49"/>
    <n v="25"/>
    <n v="0.48999999999999844"/>
    <n v="0"/>
    <m/>
    <s v="comodino amazon"/>
    <x v="0"/>
    <x v="0"/>
  </r>
  <r>
    <n v="78"/>
    <d v="2025-10-08T00:00:00"/>
    <x v="0"/>
    <x v="0"/>
    <x v="0"/>
    <n v="11"/>
    <n v="0"/>
    <n v="11"/>
    <n v="0"/>
    <m/>
    <s v="brindiamo bar"/>
    <x v="0"/>
    <x v="0"/>
  </r>
  <r>
    <n v="77"/>
    <d v="2025-10-08T00:00:00"/>
    <x v="0"/>
    <x v="2"/>
    <x v="2"/>
    <n v="14.98"/>
    <n v="0"/>
    <n v="14.98"/>
    <n v="0"/>
    <m/>
    <s v="Unieuro"/>
    <x v="0"/>
    <x v="0"/>
  </r>
  <r>
    <n v="76"/>
    <d v="2025-10-07T00:00:00"/>
    <x v="0"/>
    <x v="3"/>
    <x v="5"/>
    <n v="26.75"/>
    <n v="0"/>
    <n v="26.75"/>
    <n v="0"/>
    <m/>
    <s v="KFC"/>
    <x v="0"/>
    <x v="0"/>
  </r>
  <r>
    <n v="75"/>
    <d v="2025-10-07T00:00:00"/>
    <x v="0"/>
    <x v="3"/>
    <x v="11"/>
    <n v="46"/>
    <n v="45"/>
    <n v="1"/>
    <n v="0"/>
    <m/>
    <s v="Roma Hotel Imperatori"/>
    <x v="0"/>
    <x v="0"/>
  </r>
  <r>
    <n v="74"/>
    <d v="2025-10-07T00:00:00"/>
    <x v="0"/>
    <x v="3"/>
    <x v="5"/>
    <n v="11.5"/>
    <n v="0"/>
    <n v="11.5"/>
    <n v="0"/>
    <m/>
    <s v="Tonia"/>
    <x v="0"/>
    <x v="0"/>
  </r>
  <r>
    <n v="73"/>
    <d v="2025-10-05T00:00:00"/>
    <x v="0"/>
    <x v="3"/>
    <x v="5"/>
    <n v="52.5"/>
    <n v="40"/>
    <n v="12.5"/>
    <n v="0"/>
    <m/>
    <s v="Ohi Mary"/>
    <x v="2"/>
    <x v="0"/>
  </r>
  <r>
    <n v="72"/>
    <d v="2025-10-05T00:00:00"/>
    <x v="0"/>
    <x v="3"/>
    <x v="4"/>
    <n v="17.100000000000001"/>
    <n v="5"/>
    <n v="12.100000000000001"/>
    <n v="0"/>
    <m/>
    <s v="Marigliano Bar"/>
    <x v="2"/>
    <x v="0"/>
  </r>
  <r>
    <n v="71"/>
    <d v="2025-10-04T00:00:00"/>
    <x v="0"/>
    <x v="3"/>
    <x v="4"/>
    <n v="29.5"/>
    <n v="19.8"/>
    <n v="9.6999999999999993"/>
    <n v="0"/>
    <m/>
    <s v="in piazza"/>
    <x v="0"/>
    <x v="0"/>
  </r>
  <r>
    <n v="70"/>
    <d v="2025-10-04T00:00:00"/>
    <x v="0"/>
    <x v="5"/>
    <x v="9"/>
    <n v="10"/>
    <n v="0"/>
    <n v="10"/>
    <n v="0"/>
    <m/>
    <s v="touran"/>
    <x v="2"/>
    <x v="0"/>
  </r>
  <r>
    <n v="69"/>
    <d v="2025-10-04T00:00:00"/>
    <x v="0"/>
    <x v="2"/>
    <x v="2"/>
    <n v="44.95"/>
    <n v="0"/>
    <n v="44.95"/>
    <n v="0"/>
    <m/>
    <s v="decathlon"/>
    <x v="0"/>
    <x v="0"/>
  </r>
  <r>
    <n v="68"/>
    <d v="2025-10-04T00:00:00"/>
    <x v="0"/>
    <x v="3"/>
    <x v="5"/>
    <n v="31.8"/>
    <n v="10"/>
    <n v="21.8"/>
    <n v="0"/>
    <m/>
    <s v="ikea"/>
    <x v="0"/>
    <x v="0"/>
  </r>
  <r>
    <n v="67"/>
    <d v="2025-10-03T00:00:00"/>
    <x v="0"/>
    <x v="7"/>
    <x v="12"/>
    <n v="100"/>
    <n v="0"/>
    <n v="100"/>
    <n v="0"/>
    <m/>
    <s v="piscina"/>
    <x v="2"/>
    <x v="0"/>
  </r>
  <r>
    <n v="66"/>
    <d v="2025-10-01T00:00:00"/>
    <x v="0"/>
    <x v="2"/>
    <x v="13"/>
    <n v="18.100000000000001"/>
    <n v="0"/>
    <n v="18.100000000000001"/>
    <n v="0"/>
    <m/>
    <s v="arancini"/>
    <x v="0"/>
    <x v="0"/>
  </r>
  <r>
    <n v="65"/>
    <d v="2025-10-01T00:00:00"/>
    <x v="0"/>
    <x v="2"/>
    <x v="2"/>
    <n v="60.2"/>
    <n v="60"/>
    <n v="0.20000000000000284"/>
    <n v="0"/>
    <m/>
    <s v="profumo"/>
    <x v="0"/>
    <x v="0"/>
  </r>
  <r>
    <n v="64"/>
    <d v="2025-09-30T00:00:00"/>
    <x v="1"/>
    <x v="3"/>
    <x v="11"/>
    <n v="146"/>
    <n v="73"/>
    <n v="73"/>
    <n v="0"/>
    <m/>
    <s v="Roma Hotel Imperatori"/>
    <x v="0"/>
    <x v="0"/>
  </r>
  <r>
    <n v="63"/>
    <d v="2025-09-30T00:00:00"/>
    <x v="1"/>
    <x v="5"/>
    <x v="14"/>
    <n v="3.3"/>
    <n v="0"/>
    <n v="3.3"/>
    <n v="0"/>
    <m/>
    <m/>
    <x v="0"/>
    <x v="0"/>
  </r>
  <r>
    <n v="62"/>
    <d v="2025-09-29T00:00:00"/>
    <x v="1"/>
    <x v="2"/>
    <x v="15"/>
    <n v="89.9"/>
    <n v="0"/>
    <n v="89.9"/>
    <n v="0"/>
    <m/>
    <s v="giacca"/>
    <x v="0"/>
    <x v="0"/>
  </r>
  <r>
    <n v="61"/>
    <d v="2025-09-29T00:00:00"/>
    <x v="1"/>
    <x v="5"/>
    <x v="16"/>
    <n v="1.6"/>
    <n v="0"/>
    <n v="1.6"/>
    <n v="0"/>
    <m/>
    <m/>
    <x v="0"/>
    <x v="0"/>
  </r>
  <r>
    <n v="60"/>
    <d v="2025-09-29T00:00:00"/>
    <x v="1"/>
    <x v="5"/>
    <x v="16"/>
    <n v="1"/>
    <n v="0"/>
    <n v="1"/>
    <n v="0"/>
    <m/>
    <m/>
    <x v="0"/>
    <x v="0"/>
  </r>
  <r>
    <n v="59"/>
    <d v="2025-09-29T00:00:00"/>
    <x v="1"/>
    <x v="0"/>
    <x v="0"/>
    <n v="10"/>
    <n v="10"/>
    <n v="0"/>
    <n v="0"/>
    <m/>
    <s v="pranzo"/>
    <x v="0"/>
    <x v="0"/>
  </r>
  <r>
    <n v="58"/>
    <d v="2025-09-28T00:00:00"/>
    <x v="1"/>
    <x v="3"/>
    <x v="4"/>
    <n v="11.1"/>
    <n v="0"/>
    <n v="11.1"/>
    <n v="0"/>
    <m/>
    <s v="casa infante"/>
    <x v="3"/>
    <x v="0"/>
  </r>
  <r>
    <n v="57"/>
    <d v="2025-09-28T00:00:00"/>
    <x v="1"/>
    <x v="1"/>
    <x v="3"/>
    <n v="1"/>
    <n v="0"/>
    <n v="1"/>
    <n v="0"/>
    <m/>
    <m/>
    <x v="1"/>
    <x v="0"/>
  </r>
  <r>
    <n v="56"/>
    <d v="2025-09-28T00:00:00"/>
    <x v="1"/>
    <x v="3"/>
    <x v="17"/>
    <n v="10"/>
    <n v="10"/>
    <n v="0"/>
    <n v="0"/>
    <m/>
    <s v="Tonia"/>
    <x v="2"/>
    <x v="0"/>
  </r>
  <r>
    <n v="55"/>
    <d v="2025-09-28T00:00:00"/>
    <x v="1"/>
    <x v="3"/>
    <x v="5"/>
    <n v="80"/>
    <n v="60"/>
    <n v="20"/>
    <n v="0"/>
    <m/>
    <s v="zito41"/>
    <x v="2"/>
    <x v="0"/>
  </r>
  <r>
    <n v="54"/>
    <d v="2025-09-27T00:00:00"/>
    <x v="1"/>
    <x v="3"/>
    <x v="5"/>
    <n v="35"/>
    <n v="20"/>
    <n v="15"/>
    <n v="0"/>
    <m/>
    <s v="uosm e vasm"/>
    <x v="2"/>
    <x v="0"/>
  </r>
  <r>
    <n v="53"/>
    <d v="2025-09-25T00:00:00"/>
    <x v="1"/>
    <x v="0"/>
    <x v="0"/>
    <n v="27.2"/>
    <n v="27.2"/>
    <n v="0"/>
    <n v="0"/>
    <m/>
    <s v="pranzo"/>
    <x v="0"/>
    <x v="0"/>
  </r>
  <r>
    <n v="52"/>
    <d v="2025-09-24T00:00:00"/>
    <x v="1"/>
    <x v="0"/>
    <x v="0"/>
    <n v="11"/>
    <n v="11"/>
    <n v="0"/>
    <n v="0"/>
    <m/>
    <s v="pranzo"/>
    <x v="0"/>
    <x v="0"/>
  </r>
  <r>
    <n v="51"/>
    <d v="2025-09-24T00:00:00"/>
    <x v="1"/>
    <x v="3"/>
    <x v="4"/>
    <n v="5"/>
    <n v="0"/>
    <n v="5"/>
    <n v="0"/>
    <m/>
    <s v="brindiamo bar"/>
    <x v="2"/>
    <x v="0"/>
  </r>
  <r>
    <n v="50"/>
    <d v="2025-09-23T00:00:00"/>
    <x v="1"/>
    <x v="2"/>
    <x v="15"/>
    <n v="60.28"/>
    <n v="0"/>
    <n v="60.28"/>
    <n v="0"/>
    <m/>
    <s v="camicie"/>
    <x v="0"/>
    <x v="0"/>
  </r>
  <r>
    <n v="49"/>
    <d v="2025-09-22T00:00:00"/>
    <x v="1"/>
    <x v="3"/>
    <x v="11"/>
    <n v="63.75"/>
    <n v="0"/>
    <n v="63.75"/>
    <n v="0"/>
    <m/>
    <s v="roma spese"/>
    <x v="2"/>
    <x v="0"/>
  </r>
  <r>
    <n v="48"/>
    <d v="2025-09-22T00:00:00"/>
    <x v="1"/>
    <x v="3"/>
    <x v="11"/>
    <n v="736.46"/>
    <n v="830"/>
    <n v="0"/>
    <n v="93.539999999999964"/>
    <m/>
    <s v="bucarest (Da agg. Hotel 103€)"/>
    <x v="0"/>
    <x v="0"/>
  </r>
  <r>
    <n v="47"/>
    <d v="2025-09-23T00:00:00"/>
    <x v="1"/>
    <x v="0"/>
    <x v="0"/>
    <n v="10"/>
    <n v="10"/>
    <n v="0"/>
    <n v="0"/>
    <m/>
    <s v="pranzo"/>
    <x v="0"/>
    <x v="0"/>
  </r>
  <r>
    <n v="46"/>
    <d v="2025-09-22T00:00:00"/>
    <x v="1"/>
    <x v="3"/>
    <x v="4"/>
    <n v="8.5"/>
    <n v="0"/>
    <n v="8.5"/>
    <n v="0"/>
    <m/>
    <s v="brindiamo bar"/>
    <x v="0"/>
    <x v="0"/>
  </r>
  <r>
    <n v="45"/>
    <d v="2025-09-21T00:00:00"/>
    <x v="1"/>
    <x v="3"/>
    <x v="11"/>
    <n v="91"/>
    <n v="45.5"/>
    <n v="45.5"/>
    <n v="0"/>
    <m/>
    <s v="pranzo"/>
    <x v="0"/>
    <x v="0"/>
  </r>
  <r>
    <n v="44"/>
    <d v="2025-09-20T00:00:00"/>
    <x v="1"/>
    <x v="3"/>
    <x v="11"/>
    <n v="11.95"/>
    <n v="0"/>
    <n v="11.95"/>
    <n v="0"/>
    <m/>
    <s v="mc donald"/>
    <x v="0"/>
    <x v="0"/>
  </r>
  <r>
    <n v="43"/>
    <d v="2025-09-20T00:00:00"/>
    <x v="1"/>
    <x v="3"/>
    <x v="11"/>
    <n v="5.96"/>
    <n v="2.98"/>
    <n v="2.98"/>
    <n v="0"/>
    <m/>
    <s v="supermercato"/>
    <x v="0"/>
    <x v="0"/>
  </r>
  <r>
    <n v="42"/>
    <d v="2025-09-20T00:00:00"/>
    <x v="1"/>
    <x v="3"/>
    <x v="11"/>
    <n v="15"/>
    <n v="7.5"/>
    <n v="7.5"/>
    <n v="0"/>
    <m/>
    <s v="tassa soggiorno"/>
    <x v="0"/>
    <x v="0"/>
  </r>
  <r>
    <n v="41"/>
    <d v="2025-09-20T00:00:00"/>
    <x v="1"/>
    <x v="3"/>
    <x v="11"/>
    <n v="35"/>
    <n v="17.5"/>
    <n v="17.5"/>
    <n v="0"/>
    <m/>
    <s v="pedaggi"/>
    <x v="0"/>
    <x v="0"/>
  </r>
  <r>
    <n v="40"/>
    <d v="2002-09-19T00:00:00"/>
    <x v="1"/>
    <x v="3"/>
    <x v="11"/>
    <n v="110.51"/>
    <n v="55.26"/>
    <n v="55.250000000000007"/>
    <n v="0"/>
    <m/>
    <s v="twingo"/>
    <x v="0"/>
    <x v="0"/>
  </r>
  <r>
    <n v="39"/>
    <d v="2002-09-19T00:00:00"/>
    <x v="1"/>
    <x v="3"/>
    <x v="5"/>
    <n v="17.3"/>
    <n v="10"/>
    <n v="7.3000000000000007"/>
    <n v="0"/>
    <m/>
    <s v="mc donald"/>
    <x v="0"/>
    <x v="0"/>
  </r>
  <r>
    <n v="38"/>
    <d v="2025-09-17T00:00:00"/>
    <x v="1"/>
    <x v="3"/>
    <x v="18"/>
    <n v="3.5"/>
    <n v="0"/>
    <n v="3.5"/>
    <n v="0"/>
    <m/>
    <s v="ticketone"/>
    <x v="3"/>
    <x v="0"/>
  </r>
  <r>
    <n v="37"/>
    <d v="2025-09-17T00:00:00"/>
    <x v="1"/>
    <x v="0"/>
    <x v="0"/>
    <n v="13"/>
    <n v="13"/>
    <n v="0"/>
    <n v="0"/>
    <m/>
    <s v="pranzo"/>
    <x v="0"/>
    <x v="0"/>
  </r>
  <r>
    <n v="36"/>
    <d v="2025-09-17T00:00:00"/>
    <x v="1"/>
    <x v="3"/>
    <x v="11"/>
    <n v="94"/>
    <n v="50"/>
    <n v="44"/>
    <n v="0"/>
    <m/>
    <s v="Roma Hotel Imperatori"/>
    <x v="0"/>
    <x v="0"/>
  </r>
  <r>
    <n v="35"/>
    <d v="2025-09-17T00:00:00"/>
    <x v="1"/>
    <x v="3"/>
    <x v="4"/>
    <n v="15"/>
    <n v="0"/>
    <n v="15"/>
    <n v="0"/>
    <m/>
    <m/>
    <x v="2"/>
    <x v="0"/>
  </r>
  <r>
    <n v="34"/>
    <d v="2025-09-16T00:00:00"/>
    <x v="1"/>
    <x v="0"/>
    <x v="0"/>
    <n v="10"/>
    <n v="10"/>
    <n v="0"/>
    <n v="0"/>
    <m/>
    <s v="pranzo"/>
    <x v="0"/>
    <x v="0"/>
  </r>
  <r>
    <n v="33"/>
    <d v="2025-09-15T00:00:00"/>
    <x v="1"/>
    <x v="2"/>
    <x v="15"/>
    <n v="39.979999999999997"/>
    <n v="0"/>
    <n v="39.979999999999997"/>
    <n v="0"/>
    <m/>
    <m/>
    <x v="0"/>
    <x v="0"/>
  </r>
  <r>
    <n v="32"/>
    <d v="2025-09-14T00:00:00"/>
    <x v="1"/>
    <x v="2"/>
    <x v="2"/>
    <n v="49.98"/>
    <n v="0"/>
    <n v="49.98"/>
    <n v="0"/>
    <m/>
    <s v="Amazon"/>
    <x v="0"/>
    <x v="0"/>
  </r>
  <r>
    <n v="31"/>
    <d v="2025-09-13T00:00:00"/>
    <x v="1"/>
    <x v="3"/>
    <x v="4"/>
    <n v="12"/>
    <n v="0"/>
    <n v="12"/>
    <n v="0"/>
    <m/>
    <m/>
    <x v="0"/>
    <x v="0"/>
  </r>
  <r>
    <n v="30"/>
    <d v="2025-09-13T00:00:00"/>
    <x v="1"/>
    <x v="2"/>
    <x v="15"/>
    <n v="30"/>
    <n v="0"/>
    <n v="30"/>
    <n v="0"/>
    <m/>
    <s v="camicia Domenico"/>
    <x v="0"/>
    <x v="0"/>
  </r>
  <r>
    <n v="29"/>
    <d v="2025-09-13T00:00:00"/>
    <x v="1"/>
    <x v="2"/>
    <x v="15"/>
    <n v="20.29"/>
    <n v="0"/>
    <n v="20.29"/>
    <n v="0"/>
    <m/>
    <m/>
    <x v="0"/>
    <x v="0"/>
  </r>
  <r>
    <n v="28"/>
    <d v="2025-09-13T00:00:00"/>
    <x v="1"/>
    <x v="5"/>
    <x v="9"/>
    <n v="6"/>
    <n v="0"/>
    <n v="6"/>
    <n v="0"/>
    <m/>
    <s v="touran"/>
    <x v="3"/>
    <x v="0"/>
  </r>
  <r>
    <n v="27"/>
    <d v="2025-09-13T00:00:00"/>
    <x v="1"/>
    <x v="3"/>
    <x v="4"/>
    <n v="42"/>
    <n v="37"/>
    <n v="5"/>
    <n v="0"/>
    <m/>
    <s v="fonzo"/>
    <x v="2"/>
    <x v="0"/>
  </r>
  <r>
    <n v="26"/>
    <d v="2025-09-15T00:00:00"/>
    <x v="1"/>
    <x v="1"/>
    <x v="7"/>
    <n v="3.9"/>
    <n v="0"/>
    <n v="3.9"/>
    <n v="0"/>
    <m/>
    <m/>
    <x v="1"/>
    <x v="0"/>
  </r>
  <r>
    <n v="25"/>
    <d v="2025-09-12T00:00:00"/>
    <x v="1"/>
    <x v="3"/>
    <x v="4"/>
    <n v="6.5"/>
    <n v="20"/>
    <n v="0"/>
    <n v="13.5"/>
    <m/>
    <s v="gusto"/>
    <x v="0"/>
    <x v="0"/>
  </r>
  <r>
    <n v="24"/>
    <d v="2025-09-12T00:00:00"/>
    <x v="1"/>
    <x v="3"/>
    <x v="4"/>
    <n v="6"/>
    <n v="0"/>
    <n v="6"/>
    <n v="0"/>
    <m/>
    <s v="parentesi graffa"/>
    <x v="0"/>
    <x v="0"/>
  </r>
  <r>
    <n v="23"/>
    <d v="2025-09-12T00:00:00"/>
    <x v="1"/>
    <x v="3"/>
    <x v="5"/>
    <n v="31.05"/>
    <n v="15"/>
    <n v="16.05"/>
    <n v="0"/>
    <m/>
    <s v="mc donald"/>
    <x v="0"/>
    <x v="0"/>
  </r>
  <r>
    <n v="22"/>
    <d v="2025-09-12T00:00:00"/>
    <x v="1"/>
    <x v="5"/>
    <x v="9"/>
    <n v="48"/>
    <n v="0"/>
    <n v="48"/>
    <n v="0"/>
    <m/>
    <s v="twingo Elena"/>
    <x v="0"/>
    <x v="0"/>
  </r>
  <r>
    <n v="21"/>
    <d v="2025-09-10T00:00:00"/>
    <x v="1"/>
    <x v="5"/>
    <x v="19"/>
    <n v="2"/>
    <n v="0"/>
    <n v="2"/>
    <n v="0"/>
    <m/>
    <m/>
    <x v="2"/>
    <x v="0"/>
  </r>
  <r>
    <n v="20"/>
    <d v="2025-09-09T00:00:00"/>
    <x v="1"/>
    <x v="3"/>
    <x v="4"/>
    <n v="4"/>
    <n v="0"/>
    <n v="4"/>
    <n v="0"/>
    <m/>
    <m/>
    <x v="0"/>
    <x v="0"/>
  </r>
  <r>
    <n v="19"/>
    <d v="2025-09-09T00:00:00"/>
    <x v="1"/>
    <x v="3"/>
    <x v="4"/>
    <n v="6.2"/>
    <n v="0"/>
    <n v="6.2"/>
    <n v="0"/>
    <m/>
    <m/>
    <x v="0"/>
    <x v="0"/>
  </r>
  <r>
    <n v="18"/>
    <d v="2025-09-09T00:00:00"/>
    <x v="1"/>
    <x v="2"/>
    <x v="15"/>
    <n v="69.760000000000005"/>
    <n v="22"/>
    <n v="47.760000000000005"/>
    <n v="0"/>
    <m/>
    <s v="ovs"/>
    <x v="0"/>
    <x v="0"/>
  </r>
  <r>
    <n v="17"/>
    <d v="2025-09-09T00:00:00"/>
    <x v="1"/>
    <x v="2"/>
    <x v="15"/>
    <n v="100.25"/>
    <n v="0"/>
    <n v="100.25"/>
    <n v="0"/>
    <m/>
    <s v="zara"/>
    <x v="2"/>
    <x v="0"/>
  </r>
  <r>
    <n v="16"/>
    <d v="2025-09-08T00:00:00"/>
    <x v="1"/>
    <x v="3"/>
    <x v="5"/>
    <n v="25"/>
    <n v="0"/>
    <n v="25"/>
    <n v="0"/>
    <m/>
    <m/>
    <x v="2"/>
    <x v="0"/>
  </r>
  <r>
    <n v="15"/>
    <d v="2025-09-08T00:00:00"/>
    <x v="1"/>
    <x v="3"/>
    <x v="4"/>
    <n v="4.2"/>
    <n v="0"/>
    <n v="4.2"/>
    <n v="0"/>
    <m/>
    <s v="Pasquale"/>
    <x v="0"/>
    <x v="0"/>
  </r>
  <r>
    <n v="14"/>
    <d v="2025-09-05T00:00:00"/>
    <x v="1"/>
    <x v="0"/>
    <x v="0"/>
    <n v="6.5"/>
    <n v="6.5"/>
    <n v="0"/>
    <n v="0"/>
    <m/>
    <s v="pranzo"/>
    <x v="0"/>
    <x v="0"/>
  </r>
  <r>
    <n v="13"/>
    <d v="2025-09-02T00:00:00"/>
    <x v="1"/>
    <x v="0"/>
    <x v="0"/>
    <n v="23"/>
    <n v="23"/>
    <n v="0"/>
    <n v="0"/>
    <m/>
    <s v="pranzo"/>
    <x v="0"/>
    <x v="0"/>
  </r>
  <r>
    <n v="12"/>
    <d v="2025-12-01T00:00:00"/>
    <x v="2"/>
    <x v="8"/>
    <x v="10"/>
    <n v="0"/>
    <n v="0"/>
    <n v="0"/>
    <n v="0"/>
    <m/>
    <m/>
    <x v="4"/>
    <x v="1"/>
  </r>
  <r>
    <n v="11"/>
    <d v="2025-11-01T00:00:00"/>
    <x v="3"/>
    <x v="8"/>
    <x v="10"/>
    <n v="0"/>
    <n v="0"/>
    <n v="0"/>
    <n v="0"/>
    <m/>
    <m/>
    <x v="4"/>
    <x v="1"/>
  </r>
  <r>
    <n v="10"/>
    <d v="2025-10-01T00:00:00"/>
    <x v="0"/>
    <x v="8"/>
    <x v="10"/>
    <n v="0"/>
    <n v="0"/>
    <n v="0"/>
    <n v="0"/>
    <m/>
    <m/>
    <x v="4"/>
    <x v="1"/>
  </r>
  <r>
    <n v="9"/>
    <d v="2025-09-01T00:00:00"/>
    <x v="1"/>
    <x v="8"/>
    <x v="10"/>
    <n v="0"/>
    <n v="0"/>
    <n v="0"/>
    <n v="0"/>
    <m/>
    <m/>
    <x v="4"/>
    <x v="1"/>
  </r>
  <r>
    <n v="8"/>
    <d v="2025-08-01T00:00:00"/>
    <x v="4"/>
    <x v="8"/>
    <x v="10"/>
    <n v="0"/>
    <n v="0"/>
    <n v="0"/>
    <n v="0"/>
    <m/>
    <m/>
    <x v="4"/>
    <x v="1"/>
  </r>
  <r>
    <n v="7"/>
    <d v="2025-07-01T00:00:00"/>
    <x v="5"/>
    <x v="8"/>
    <x v="10"/>
    <n v="0"/>
    <n v="0"/>
    <n v="0"/>
    <n v="0"/>
    <m/>
    <m/>
    <x v="4"/>
    <x v="1"/>
  </r>
  <r>
    <n v="6"/>
    <d v="2025-06-01T00:00:00"/>
    <x v="6"/>
    <x v="8"/>
    <x v="10"/>
    <n v="0"/>
    <n v="0"/>
    <n v="0"/>
    <n v="0"/>
    <m/>
    <m/>
    <x v="4"/>
    <x v="1"/>
  </r>
  <r>
    <n v="5"/>
    <d v="2025-05-01T00:00:00"/>
    <x v="7"/>
    <x v="8"/>
    <x v="10"/>
    <n v="0"/>
    <n v="0"/>
    <n v="0"/>
    <n v="0"/>
    <m/>
    <m/>
    <x v="4"/>
    <x v="1"/>
  </r>
  <r>
    <n v="4"/>
    <d v="2025-04-01T00:00:00"/>
    <x v="8"/>
    <x v="8"/>
    <x v="10"/>
    <n v="0"/>
    <n v="0"/>
    <n v="0"/>
    <n v="0"/>
    <m/>
    <m/>
    <x v="4"/>
    <x v="1"/>
  </r>
  <r>
    <n v="3"/>
    <d v="2025-03-01T00:00:00"/>
    <x v="9"/>
    <x v="8"/>
    <x v="10"/>
    <n v="0"/>
    <n v="0"/>
    <n v="0"/>
    <n v="0"/>
    <m/>
    <m/>
    <x v="4"/>
    <x v="1"/>
  </r>
  <r>
    <n v="2"/>
    <d v="2025-02-01T00:00:00"/>
    <x v="10"/>
    <x v="8"/>
    <x v="10"/>
    <n v="0"/>
    <n v="0"/>
    <n v="0"/>
    <n v="0"/>
    <m/>
    <m/>
    <x v="4"/>
    <x v="1"/>
  </r>
  <r>
    <n v="1"/>
    <d v="2025-01-01T00:00:00"/>
    <x v="11"/>
    <x v="8"/>
    <x v="10"/>
    <n v="0"/>
    <n v="0"/>
    <n v="0"/>
    <n v="0"/>
    <m/>
    <m/>
    <x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5FA725-56BE-4EBC-A881-BA8930A191ED}" name="pivot_spese" cacheId="16" applyNumberFormats="0" applyBorderFormats="0" applyFontFormats="0" applyPatternFormats="0" applyAlignmentFormats="0" applyWidthHeightFormats="1" dataCaption="Valori" missingCaption="--" updatedVersion="8" minRefreshableVersion="3" useAutoFormatting="1" itemPrintTitles="1" createdVersion="8" indent="0" outline="1" outlineData="1" multipleFieldFilters="0">
  <location ref="A7:N38" firstHeaderRow="1" firstDataRow="2" firstDataCol="1"/>
  <pivotFields count="13">
    <pivotField showAll="0"/>
    <pivotField numFmtId="14" showAll="0"/>
    <pivotField axis="axisCol" showAll="0">
      <items count="13">
        <item x="11"/>
        <item x="10"/>
        <item x="9"/>
        <item x="8"/>
        <item x="7"/>
        <item x="6"/>
        <item x="5"/>
        <item x="4"/>
        <item x="1"/>
        <item x="0"/>
        <item x="3"/>
        <item x="2"/>
        <item t="default"/>
      </items>
    </pivotField>
    <pivotField axis="axisRow" showAll="0">
      <items count="11">
        <item x="4"/>
        <item sd="0" x="8"/>
        <item m="1" x="9"/>
        <item x="1"/>
        <item x="2"/>
        <item x="3"/>
        <item x="5"/>
        <item x="6"/>
        <item x="0"/>
        <item x="7"/>
        <item t="default"/>
      </items>
    </pivotField>
    <pivotField axis="axisRow" showAll="0">
      <items count="28">
        <item m="1" x="25"/>
        <item m="1" x="24"/>
        <item x="6"/>
        <item m="1" x="23"/>
        <item m="1" x="22"/>
        <item x="10"/>
        <item m="1" x="26"/>
        <item x="7"/>
        <item m="1" x="21"/>
        <item x="4"/>
        <item x="15"/>
        <item x="9"/>
        <item x="5"/>
        <item x="19"/>
        <item x="11"/>
        <item m="1" x="20"/>
        <item x="13"/>
        <item x="14"/>
        <item x="16"/>
        <item x="0"/>
        <item x="3"/>
        <item x="17"/>
        <item x="12"/>
        <item x="18"/>
        <item x="2"/>
        <item x="8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>
      <items count="7">
        <item x="1"/>
        <item x="2"/>
        <item m="1" x="5"/>
        <item x="3"/>
        <item x="0"/>
        <item x="4"/>
        <item t="default"/>
      </items>
    </pivotField>
    <pivotField showAll="0">
      <items count="4">
        <item m="1" x="2"/>
        <item x="0"/>
        <item x="1"/>
        <item t="default"/>
      </items>
    </pivotField>
  </pivotFields>
  <rowFields count="2">
    <field x="3"/>
    <field x="4"/>
  </rowFields>
  <rowItems count="30">
    <i>
      <x/>
    </i>
    <i r="1">
      <x v="2"/>
    </i>
    <i>
      <x v="1"/>
    </i>
    <i>
      <x v="3"/>
    </i>
    <i r="1">
      <x v="7"/>
    </i>
    <i r="1">
      <x v="20"/>
    </i>
    <i r="1">
      <x v="26"/>
    </i>
    <i>
      <x v="4"/>
    </i>
    <i r="1">
      <x v="10"/>
    </i>
    <i r="1">
      <x v="16"/>
    </i>
    <i r="1">
      <x v="24"/>
    </i>
    <i>
      <x v="5"/>
    </i>
    <i r="1">
      <x v="9"/>
    </i>
    <i r="1">
      <x v="12"/>
    </i>
    <i r="1">
      <x v="14"/>
    </i>
    <i r="1">
      <x v="21"/>
    </i>
    <i r="1">
      <x v="23"/>
    </i>
    <i>
      <x v="6"/>
    </i>
    <i r="1">
      <x v="11"/>
    </i>
    <i r="1">
      <x v="13"/>
    </i>
    <i r="1">
      <x v="17"/>
    </i>
    <i r="1">
      <x v="18"/>
    </i>
    <i r="1">
      <x v="25"/>
    </i>
    <i>
      <x v="7"/>
    </i>
    <i r="1">
      <x v="5"/>
    </i>
    <i>
      <x v="8"/>
    </i>
    <i r="1">
      <x v="19"/>
    </i>
    <i>
      <x v="9"/>
    </i>
    <i r="1">
      <x v="22"/>
    </i>
    <i t="grand">
      <x/>
    </i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omma di Euro Netto" fld="7" baseField="0" baseItem="0"/>
  </dataFields>
  <formats count="15">
    <format dxfId="76">
      <pivotArea type="all" dataOnly="0" outline="0" fieldPosition="0"/>
    </format>
    <format dxfId="75">
      <pivotArea outline="0" collapsedLevelsAreSubtotals="1" fieldPosition="0"/>
    </format>
    <format dxfId="74">
      <pivotArea dataOnly="0" labelOnly="1" fieldPosition="0">
        <references count="2">
          <reference field="3" count="1" selected="0">
            <x v="0"/>
          </reference>
          <reference field="4" count="5">
            <x v="0"/>
            <x v="1"/>
            <x v="2"/>
            <x v="3"/>
            <x v="4"/>
          </reference>
        </references>
      </pivotArea>
    </format>
    <format dxfId="73">
      <pivotArea dataOnly="0" labelOnly="1" fieldPosition="0">
        <references count="2">
          <reference field="3" count="1" selected="0">
            <x v="1"/>
          </reference>
          <reference field="4" count="1">
            <x v="5"/>
          </reference>
        </references>
      </pivotArea>
    </format>
    <format dxfId="72">
      <pivotArea outline="0" collapsedLevelsAreSubtotals="1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type="origin" dataOnly="0" labelOnly="1" outline="0" fieldPosition="0"/>
    </format>
    <format dxfId="68">
      <pivotArea field="2" type="button" dataOnly="0" labelOnly="1" outline="0" axis="axisCol" fieldPosition="0"/>
    </format>
    <format dxfId="67">
      <pivotArea type="topRight" dataOnly="0" labelOnly="1" outline="0" fieldPosition="0"/>
    </format>
    <format dxfId="66">
      <pivotArea field="3" type="button" dataOnly="0" labelOnly="1" outline="0" axis="axisRow" fieldPosition="0"/>
    </format>
    <format dxfId="65">
      <pivotArea dataOnly="0" labelOnly="1" fieldPosition="0">
        <references count="1">
          <reference field="3" count="0"/>
        </references>
      </pivotArea>
    </format>
    <format dxfId="64">
      <pivotArea dataOnly="0" labelOnly="1" grandRow="1" outline="0" fieldPosition="0"/>
    </format>
    <format dxfId="63">
      <pivotArea dataOnly="0" labelOnly="1" fieldPosition="0">
        <references count="1">
          <reference field="2" count="0"/>
        </references>
      </pivotArea>
    </format>
    <format dxfId="62">
      <pivotArea dataOnly="0" labelOnly="1" grandCol="1" outline="0" fieldPosition="0"/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Pagamento" xr10:uid="{ACC93CBB-6B40-4393-B76A-642CAED110B8}" sourceName="Pagamento">
  <pivotTables>
    <pivotTable tabId="11" name="pivot_spese"/>
  </pivotTables>
  <data>
    <tabular pivotCacheId="153557146">
      <items count="6">
        <i x="1" s="1"/>
        <i x="2" s="1"/>
        <i x="3" s="1"/>
        <i x="0" s="1"/>
        <i x="4" s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Intestatario" xr10:uid="{C2F8FB15-3478-4DBD-8DB7-72DF0A23FB2B}" sourceName="Intestatario">
  <pivotTables>
    <pivotTable tabId="11" name="pivot_spese"/>
  </pivotTables>
  <data>
    <tabular pivotCacheId="153557146">
      <items count="3">
        <i x="0" s="1"/>
        <i x="1" s="1"/>
        <i x="2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spese" xr10:uid="{73589AFE-DC73-4408-991D-EE23C018C9D6}" sourceName="Mes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risparmi" xr10:uid="{D6EDA7AE-CEE8-4047-9BE7-5D21BE881D8E}" sourceName="Mese">
  <extLst>
    <x:ext xmlns:x15="http://schemas.microsoft.com/office/spreadsheetml/2010/11/main" uri="{2F2917AC-EB37-4324-AD4E-5DD8C200BD13}">
      <x15:tableSlicerCache tableId="3" column="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investimenti" xr10:uid="{409EE462-A62F-4DEC-AF8F-1D5BD7B9E1EA}" sourceName="Mese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entrate" xr10:uid="{B43C1A3F-1459-4816-ADDD-D763BC3747F6}" sourceName="Mese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_tbl_risparmi1" xr10:uid="{5E5794ED-BF67-407E-A0DF-30E47BD3B302}" sourceName="Mese">
  <extLst>
    <x:ext xmlns:x15="http://schemas.microsoft.com/office/spreadsheetml/2010/11/main" uri="{2F2917AC-EB37-4324-AD4E-5DD8C200BD13}">
      <x15:tableSlicerCache tableId="8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gamento" xr10:uid="{367D514C-4A0F-4774-A557-BA99D1079237}" cache="FiltroDati_Pagamento" caption="Pagamento" columnCount="3" rowHeight="234950"/>
  <slicer name="Intestatario" xr10:uid="{DB3AF87E-1E55-41BA-9E05-C67BF459FDA2}" cache="FiltroDati_Intestatario" caption="Intestatario" columnCount="3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entrate" xr10:uid="{F4FBFFC1-58B4-4FA1-8A53-B0EE84A6C4BE}" cache="filtro_tbl_entrate" caption="Mese" columnCount="4" style="SlicerStyleLight3" rowHeight="32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spese" xr10:uid="{502957C0-803A-4BAA-B303-D5463155B9D2}" cache="filtro_tbl_spese" caption="Mese" columnCount="4" style="SlicerStyleLight2" rowHeight="32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investimenti 1" xr10:uid="{8EC7E4B3-F669-4D4F-B693-E3078658D4AF}" cache="filtro_tbl_risparmi1" caption="Mese" columnCount="4" style="SlicerStyleLight6" rowHeight="32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_tbl_investimenti" xr10:uid="{B15C15EA-03AD-43EE-9E52-2E3F2BD6C3FD}" cache="filtro_tbl_risparmi" caption="Mese" columnCount="4" rowHeight="3240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 3" xr10:uid="{35181BFD-2FC0-4BFA-A93A-9090B003571C}" cache="filtro_tbl_investimenti" caption="Mese" columnCount="4" style="SlicerStyleLight5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73F9C2-F5EF-4364-BCA8-20C5799E833B}" name="tbl_entrate" displayName="tbl_entrate" ref="M5:M12" totalsRowShown="0" headerRowDxfId="137" dataDxfId="136">
  <autoFilter ref="M5:M12" xr:uid="{1E73F9C2-F5EF-4364-BCA8-20C5799E833B}"/>
  <tableColumns count="1">
    <tableColumn id="1" xr3:uid="{DB121293-E5CB-4D03-AADB-E78B2384B731}" name="entrate" dataDxfId="1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31A9DE4-858E-4F03-B427-7B7FC51E35A3}" name="tbl_spese" displayName="tbl_spese" ref="M14:M26" totalsRowShown="0" headerRowDxfId="134" dataDxfId="133">
  <autoFilter ref="M14:M26" xr:uid="{931A9DE4-858E-4F03-B427-7B7FC51E35A3}"/>
  <sortState xmlns:xlrd2="http://schemas.microsoft.com/office/spreadsheetml/2017/richdata2" ref="M15:M26">
    <sortCondition ref="M14:M26"/>
  </sortState>
  <tableColumns count="1">
    <tableColumn id="1" xr3:uid="{5F8D0535-59B7-4F9F-99EA-A65E6A01B494}" name="spese" dataDxfId="1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9CD3AFC-7D38-4A93-9EDC-D48A3A62FB1D}" name="tbl_spese_quotidiane" displayName="tbl_spese_quotidiane" ref="Q5:Q12" totalsRowShown="0" headerRowDxfId="131" dataDxfId="130">
  <autoFilter ref="Q5:Q12" xr:uid="{D9CD3AFC-7D38-4A93-9EDC-D48A3A62FB1D}"/>
  <sortState xmlns:xlrd2="http://schemas.microsoft.com/office/spreadsheetml/2017/richdata2" ref="Q6">
    <sortCondition ref="Q5:Q6"/>
  </sortState>
  <tableColumns count="1">
    <tableColumn id="1" xr3:uid="{8E8B4E40-DA2E-465D-A2F1-5FCB61CAFFD5}" name="spese quotidiane" dataDxfId="1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FC5B0D3-31FD-4D14-A222-B46338F98EF3}" name="tbl_figli" displayName="tbl_figli" ref="S5:S12" totalsRowShown="0" headerRowDxfId="128" dataDxfId="127">
  <autoFilter ref="S5:S12" xr:uid="{FFC5B0D3-31FD-4D14-A222-B46338F98EF3}"/>
  <sortState xmlns:xlrd2="http://schemas.microsoft.com/office/spreadsheetml/2017/richdata2" ref="S6:S12">
    <sortCondition ref="S5:S12"/>
  </sortState>
  <tableColumns count="1">
    <tableColumn id="1" xr3:uid="{D12DACB3-DAB6-433A-B5C0-3C15DA3FCC10}" name="figli" dataDxfId="1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B7BD4D9-B475-4083-A999-FB76912BB1D6}" name="tbl_trasporto" displayName="tbl_trasporto" ref="O20:O28" totalsRowShown="0" headerRowDxfId="125" dataDxfId="124">
  <autoFilter ref="O20:O28" xr:uid="{DB7BD4D9-B475-4083-A999-FB76912BB1D6}"/>
  <sortState xmlns:xlrd2="http://schemas.microsoft.com/office/spreadsheetml/2017/richdata2" ref="O21:O24">
    <sortCondition ref="O20:O24"/>
  </sortState>
  <tableColumns count="1">
    <tableColumn id="1" xr3:uid="{65B778B8-204C-4972-829F-B1EB011B5837}" name="trasporto" dataDxfId="1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D49D2DE-8171-4546-8604-BDCD1EFB4D83}" name="tbl_salute" displayName="tbl_salute" ref="Q18:Q22" totalsRowShown="0" headerRowDxfId="122" dataDxfId="121">
  <autoFilter ref="Q18:Q22" xr:uid="{8D49D2DE-8171-4546-8604-BDCD1EFB4D83}"/>
  <sortState xmlns:xlrd2="http://schemas.microsoft.com/office/spreadsheetml/2017/richdata2" ref="Q19:Q22">
    <sortCondition ref="Q18:Q22"/>
  </sortState>
  <tableColumns count="1">
    <tableColumn id="1" xr3:uid="{44086688-C319-461F-A552-03A1D100BAFF}" name="salute" dataDxfId="1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D244B7-EA7B-439B-867A-6A3B02C928FB}" name="tbl_animali_domestici" displayName="tbl_animali_domestici" ref="S15:S19" totalsRowShown="0" headerRowDxfId="119" dataDxfId="118">
  <autoFilter ref="S15:S19" xr:uid="{ABD244B7-EA7B-439B-867A-6A3B02C928FB}"/>
  <sortState xmlns:xlrd2="http://schemas.microsoft.com/office/spreadsheetml/2017/richdata2" ref="S16:S19">
    <sortCondition ref="S15:S19"/>
  </sortState>
  <tableColumns count="1">
    <tableColumn id="1" xr3:uid="{700B5898-2071-44F7-AFFF-EDC24E40A70A}" name="animali domestici" dataDxfId="1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84691EE-26E6-45BF-8FA8-9EBAB8718057}" name="tbl_abbonamenti" displayName="tbl_abbonamenti" ref="O30:O35" totalsRowShown="0" headerRowDxfId="116" dataDxfId="115">
  <autoFilter ref="O30:O35" xr:uid="{384691EE-26E6-45BF-8FA8-9EBAB8718057}"/>
  <sortState xmlns:xlrd2="http://schemas.microsoft.com/office/spreadsheetml/2017/richdata2" ref="O31:O34">
    <sortCondition ref="O30:O34"/>
  </sortState>
  <tableColumns count="1">
    <tableColumn id="1" xr3:uid="{257692EB-B49F-42CB-915E-AB75B983227D}" name="abbonamenti" dataDxfId="1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0049148-EE40-492A-803A-61014DC4A93F}" name="tbl_svago" displayName="tbl_svago" ref="Q25:Q31" totalsRowShown="0" headerRowDxfId="113" dataDxfId="112">
  <autoFilter ref="Q25:Q31" xr:uid="{10049148-EE40-492A-803A-61014DC4A93F}"/>
  <sortState xmlns:xlrd2="http://schemas.microsoft.com/office/spreadsheetml/2017/richdata2" ref="Q26:Q30">
    <sortCondition ref="Q25:Q30"/>
  </sortState>
  <tableColumns count="1">
    <tableColumn id="1" xr3:uid="{587E6271-84E6-4F96-9D6D-9A3238E3F565}" name="svago" dataDxfId="11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C2ECF31-5736-445C-9930-DC0E3376CC61}" name="tbl_eventi" displayName="tbl_eventi" ref="S21:S23" totalsRowShown="0" headerRowDxfId="110" dataDxfId="109">
  <autoFilter ref="S21:S23" xr:uid="{2C2ECF31-5736-445C-9930-DC0E3376CC61}"/>
  <sortState xmlns:xlrd2="http://schemas.microsoft.com/office/spreadsheetml/2017/richdata2" ref="S22:S23">
    <sortCondition ref="S21:S23"/>
  </sortState>
  <tableColumns count="1">
    <tableColumn id="1" xr3:uid="{CBD080B3-6017-4BA1-A320-B51E4CCF5802}" name="eventi" dataDxfId="10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F0CA08C-39F2-4A86-8FC2-F07BD15FDDA9}" name="tbl_investimenti" displayName="tbl_investimenti" ref="M28:M30" totalsRowShown="0" headerRowDxfId="107" dataDxfId="106">
  <autoFilter ref="M28:M30" xr:uid="{EF0CA08C-39F2-4A86-8FC2-F07BD15FDDA9}"/>
  <tableColumns count="1">
    <tableColumn id="1" xr3:uid="{62FB7ED6-C493-4679-A7EF-69C0D5775620}" name="investimenti" dataDxfId="10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F51A815-ABF5-41A4-956B-39255D24B0F8}" name="tbl_mesi" displayName="tbl_mesi" ref="U5:V17" totalsRowShown="0" headerRowDxfId="104" dataDxfId="103">
  <autoFilter ref="U5:V17" xr:uid="{9F51A815-ABF5-41A4-956B-39255D24B0F8}"/>
  <tableColumns count="2">
    <tableColumn id="1" xr3:uid="{18624620-DE37-4FDC-879E-E44F9E0292AB}" name="mese" dataDxfId="102"/>
    <tableColumn id="2" xr3:uid="{E1A67D62-CE80-4AD1-9821-8A6B3A516567}" name="n" dataDxfId="10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7CCDFCD-4307-498D-AC19-AD49CE3C1414}" name="tbl_banca" displayName="tbl_banca" ref="Q34:Q40" totalsRowShown="0" headerRowDxfId="100" dataDxfId="99">
  <autoFilter ref="Q34:Q40" xr:uid="{67CCDFCD-4307-498D-AC19-AD49CE3C1414}"/>
  <tableColumns count="1">
    <tableColumn id="1" xr3:uid="{E588E6CB-3E37-48D1-8E78-1DF088B0CF87}" name="banca" dataDxfId="9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8369352-C99D-4360-B606-E1A86245B336}" name="tbl_casa" displayName="tbl_casa" ref="O5:O16" totalsRowShown="0" headerRowDxfId="97" dataDxfId="96">
  <autoFilter ref="O5:O16" xr:uid="{C8369352-C99D-4360-B606-E1A86245B336}"/>
  <sortState xmlns:xlrd2="http://schemas.microsoft.com/office/spreadsheetml/2017/richdata2" ref="O6:O15">
    <sortCondition ref="O5:O15"/>
  </sortState>
  <tableColumns count="1">
    <tableColumn id="1" xr3:uid="{78CEA971-56B8-4C11-B8F0-46F22689E42B}" name="casa" dataDxfId="9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C9CB6B6-B1B3-437B-BC51-FDD8D767CF49}" name="tbl_cadenza" displayName="tbl_cadenza" ref="U19:V25" totalsRowShown="0" headerRowDxfId="94" dataDxfId="93">
  <autoFilter ref="U19:V25" xr:uid="{5C9CB6B6-B1B3-437B-BC51-FDD8D767CF49}"/>
  <tableColumns count="2">
    <tableColumn id="1" xr3:uid="{ED78B3DC-09F7-48F1-B83B-B6A14DA711CA}" name="cadenza" dataDxfId="92"/>
    <tableColumn id="2" xr3:uid="{DA4630B0-C265-456B-8695-8AE222035643}" name="n" dataDxfId="9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18C3BAB-7DFB-4F2D-A146-A3CC2EA5D8E2}" name="tbl_mesi_stampatello" displayName="tbl_mesi_stampatello" ref="U28:V40" totalsRowShown="0">
  <autoFilter ref="U28:V40" xr:uid="{318C3BAB-7DFB-4F2D-A146-A3CC2EA5D8E2}"/>
  <tableColumns count="2">
    <tableColumn id="1" xr3:uid="{B0B1985C-28FA-457D-8910-F988D13F1C96}" name="n" dataDxfId="90"/>
    <tableColumn id="2" xr3:uid="{ACF4A676-CE31-4581-9ED9-52F17C92B2D4}" name="mese" dataDxfId="8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5BF2679-5BA5-4AB0-9697-53AAB6FF8D5F}" name="tbl_carte" displayName="tbl_carte" ref="X5:Y11" totalsRowShown="0" dataDxfId="87" headerRowBorderDxfId="88" tableBorderDxfId="86" totalsRowBorderDxfId="85">
  <autoFilter ref="X5:Y11" xr:uid="{05BF2679-5BA5-4AB0-9697-53AAB6FF8D5F}"/>
  <tableColumns count="2">
    <tableColumn id="1" xr3:uid="{9A00DA55-13F7-49EB-905E-8ECAC345B46D}" name="categoria" dataDxfId="84"/>
    <tableColumn id="2" xr3:uid="{128BEEE3-798B-4CEE-8390-0E322522C0CF}" name="nome" dataDxfId="8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3461180-57D5-486A-BA1C-A2D5ECC1B8B3}" name="tbl_persone" displayName="tbl_persone" ref="X14:X16" totalsRowShown="0" headerRowDxfId="82" dataDxfId="81">
  <autoFilter ref="X14:X16" xr:uid="{C3461180-57D5-486A-BA1C-A2D5ECC1B8B3}"/>
  <tableColumns count="1">
    <tableColumn id="1" xr3:uid="{FED13BE1-19A9-4C29-9383-DAE010AA2495}" name="persone" dataDxfId="8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764614-5358-4612-861F-E2ED42960805}" name="tbl_rimborso" displayName="tbl_rimborso" ref="M33:M35" totalsRowShown="0" headerRowDxfId="79" dataDxfId="78">
  <autoFilter ref="M33:M35" xr:uid="{AC764614-5358-4612-861F-E2ED42960805}"/>
  <sortState xmlns:xlrd2="http://schemas.microsoft.com/office/spreadsheetml/2017/richdata2" ref="M34:M35">
    <sortCondition ref="M22:M24"/>
  </sortState>
  <tableColumns count="1">
    <tableColumn id="1" xr3:uid="{93A6F8A0-016B-4A7A-BDC1-6AFD8B4E0859}" name="rimborso" dataDxfId="7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4592BC-EA5A-43DC-845F-6E8087A1CDC9}" name="tbl_trasferimenti" displayName="tbl_trasferimenti" ref="Z34:AH43" totalsRowShown="0" headerRowDxfId="1" dataDxfId="0">
  <autoFilter ref="Z34:AH43" xr:uid="{2C4592BC-EA5A-43DC-845F-6E8087A1CDC9}"/>
  <tableColumns count="9">
    <tableColumn id="1" xr3:uid="{42234C63-11F4-4A5F-B80D-5E14F4D9CF80}" name="data" dataDxfId="10"/>
    <tableColumn id="2" xr3:uid="{0FCC7203-1973-4580-9F15-744E27B58444}" name="mese" dataDxfId="9"/>
    <tableColumn id="3" xr3:uid="{C7678EC5-4931-4670-9870-744A4F6B94FB}" name="intestatario" dataDxfId="8"/>
    <tableColumn id="4" xr3:uid="{505DD0D3-FB2D-4A88-A671-51F378F5B417}" name="conto" dataDxfId="7"/>
    <tableColumn id="5" xr3:uid="{19015CA7-00F8-45FB-89BB-59B089CBCDE8}" name="importo" dataDxfId="6"/>
    <tableColumn id="9" xr3:uid="{D7351830-622A-4FE0-8500-781754C98361}" name="destinatario" dataDxfId="5"/>
    <tableColumn id="6" xr3:uid="{8D1A29E3-0A97-4690-94C4-22B1EF37E8A6}" name="conto2" dataDxfId="4"/>
    <tableColumn id="7" xr3:uid="{2821B34F-AD29-49FC-94DB-6D49D78F83DB}" name="importo2" dataDxfId="3"/>
    <tableColumn id="10" xr3:uid="{8620835E-9F86-44C9-AFBD-C52F2816374D}" name="Note" dataDxfId="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3952EC-A5BF-47A5-8A27-B1D15A6F8029}" name="tbl_entrate_compilazione" displayName="tbl_entrate_compilazione" ref="B11:H26" totalsRowShown="0" headerRowDxfId="61" dataDxfId="60">
  <autoFilter ref="B11:H26" xr:uid="{D33952EC-A5BF-47A5-8A27-B1D15A6F8029}"/>
  <tableColumns count="7">
    <tableColumn id="1" xr3:uid="{909B6FC1-45B1-4D84-812E-F6CDD7D45053}" name="Data" dataDxfId="59"/>
    <tableColumn id="2" xr3:uid="{CD6CDDC8-4BCD-407A-914E-CCBD05B52AD4}" name="Mese" dataDxfId="58"/>
    <tableColumn id="3" xr3:uid="{56280978-FDD6-4317-84E5-7D30280C75C6}" name="Categoria" dataDxfId="57"/>
    <tableColumn id="4" xr3:uid="{2E1C6481-945D-4568-B5A0-93F45536B5B6}" name="Euro" dataDxfId="56"/>
    <tableColumn id="5" xr3:uid="{8F28E227-5238-4773-89B5-F519C7D72BAC}" name="Note" dataDxfId="55"/>
    <tableColumn id="6" xr3:uid="{422D1081-9332-4FFB-A915-146E267D34FD}" name="Pagamento" dataDxfId="54"/>
    <tableColumn id="7" xr3:uid="{41CAA43A-2B93-41A4-80B4-15C4266BD2BA}" name="Intestatario" dataDxfId="53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1BB226-CD7C-4C22-B515-3AD211E7DB8F}" name="tbl_spese_compilazione" displayName="tbl_spese_compilazione" ref="B11:N104" totalsRowShown="0" headerRowDxfId="52" dataDxfId="51">
  <autoFilter ref="B11:N104" xr:uid="{D33952EC-A5BF-47A5-8A27-B1D15A6F8029}"/>
  <tableColumns count="13">
    <tableColumn id="9" xr3:uid="{99DD380E-F8C1-440F-9F4D-1A1B1D7596B9}" name="SP_ID" dataDxfId="50"/>
    <tableColumn id="1" xr3:uid="{DCF4D2F1-3A6A-4C35-B68F-EC37C00E0456}" name="Data" dataDxfId="49"/>
    <tableColumn id="2" xr3:uid="{68E8172A-B761-40F4-A0CA-E195835F3464}" name="Mese" dataDxfId="48"/>
    <tableColumn id="3" xr3:uid="{E42BF38D-8F51-4F3E-845D-1163BA5DDF7F}" name="Categoria" dataDxfId="47"/>
    <tableColumn id="6" xr3:uid="{8B8487BF-4354-4491-9894-07B46A649B20}" name="Sottocategoria" dataDxfId="46"/>
    <tableColumn id="4" xr3:uid="{B34D1A1E-855C-4B37-A048-E5CEB906464A}" name="Euro Lordo" dataDxfId="45"/>
    <tableColumn id="10" xr3:uid="{89AA55AB-7D9A-45D6-B31D-05E7C5ABED26}" name="Rimborso tot" dataDxfId="44">
      <calculatedColumnFormula>SUMIF(tbl_rimborsi_compilazione[SP_ID],tbl_spese_compilazione[[#This Row],[SP_ID]],tbl_rimborsi_compilazione[Euro])</calculatedColumnFormula>
    </tableColumn>
    <tableColumn id="11" xr3:uid="{D606DE92-CA0E-461A-B402-E2FE47A2977A}" name="Euro Netto" dataDxfId="43">
      <calculatedColumnFormula>IF(tbl_spese_compilazione[[#This Row],[Euro Lordo]]-tbl_spese_compilazione[[#This Row],[Rimborso tot]]&lt;0,0,tbl_spese_compilazione[[#This Row],[Euro Lordo]]-tbl_spese_compilazione[[#This Row],[Rimborso tot]])</calculatedColumnFormula>
    </tableColumn>
    <tableColumn id="12" xr3:uid="{2B453F94-F90C-481A-BB76-4B5446DBB0E3}" name="Eccedenze" dataDxfId="42">
      <calculatedColumnFormula>IF(tbl_spese_compilazione[[#This Row],[Rimborso tot]]&gt;tbl_spese_compilazione[[#This Row],[Euro Lordo]],H12-tbl_spese_compilazione[[#This Row],[Euro Lordo]],0)</calculatedColumnFormula>
    </tableColumn>
    <tableColumn id="14" xr3:uid="{05B1CFDE-6C48-4E75-9C5E-2155210563CE}" name="Rimborso" dataDxfId="41"/>
    <tableColumn id="5" xr3:uid="{E7410A61-E029-49EA-910E-8CD2CF7AFF50}" name="Note" dataDxfId="40"/>
    <tableColumn id="7" xr3:uid="{1CDFBD40-1C22-405D-AAF6-402AD9C2AEC1}" name="Pagamento" dataDxfId="39"/>
    <tableColumn id="8" xr3:uid="{2F77D3AD-5668-4D53-A9AC-8262064FC8D5}" name="Intestatario" dataDxfId="38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450074-F586-4AF2-B64F-92C71C59264B}" name="tbl_rimborsi_compilazione" displayName="tbl_rimborsi_compilazione" ref="B11:I66" totalsRowShown="0" headerRowDxfId="37" dataDxfId="36">
  <autoFilter ref="B11:I66" xr:uid="{D33952EC-A5BF-47A5-8A27-B1D15A6F8029}"/>
  <sortState xmlns:xlrd2="http://schemas.microsoft.com/office/spreadsheetml/2017/richdata2" ref="B33:I54">
    <sortCondition ref="H11:H66"/>
  </sortState>
  <tableColumns count="8">
    <tableColumn id="6" xr3:uid="{3971E388-E892-4937-9C2D-B31AE47F028D}" name="RIMB_ID" dataDxfId="35"/>
    <tableColumn id="8" xr3:uid="{72060496-74C5-4195-BE75-0BD7CAF8C2CA}" name="SP_ID" dataDxfId="34"/>
    <tableColumn id="1" xr3:uid="{36E05516-3093-40FC-AC21-CE780AC4BA7C}" name="Data" dataDxfId="33"/>
    <tableColumn id="2" xr3:uid="{4D3C6B17-E2CC-4D74-8931-6BB35F80B977}" name="Mese" dataDxfId="32"/>
    <tableColumn id="4" xr3:uid="{1835EF83-0617-4F59-B43E-F94E2FBAA4DF}" name="Euro" dataDxfId="31"/>
    <tableColumn id="5" xr3:uid="{A8AD973F-4C76-4CED-8DAC-A2D4E07B01E3}" name="Note" dataDxfId="30"/>
    <tableColumn id="3" xr3:uid="{C170AA43-FC27-4A47-BB14-1D3249865F07}" name="Pagamento" dataDxfId="29"/>
    <tableColumn id="7" xr3:uid="{3640FE40-6AF7-48FE-8BC8-BD5D199C906C}" name="Intestatario" dataDxfId="28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113F3F-2B4A-48A0-AAEC-7AE11F8DBA36}" name="tbl_risparmi_compilazione" displayName="tbl_risparmi_compilazione" ref="B11:G24" totalsRowShown="0" headerRowDxfId="27" dataDxfId="26">
  <autoFilter ref="B11:G24" xr:uid="{D33952EC-A5BF-47A5-8A27-B1D15A6F8029}"/>
  <tableColumns count="6">
    <tableColumn id="1" xr3:uid="{EAE6A09D-7902-4991-9F26-48101596B2F7}" name="Data" dataDxfId="25"/>
    <tableColumn id="2" xr3:uid="{A7C0636B-FBFD-4BF0-8675-F657DEB5F249}" name="Mese" dataDxfId="24"/>
    <tableColumn id="4" xr3:uid="{9275A6C6-C729-4DFB-AFC5-2091249AD1C6}" name="Euro" dataDxfId="23"/>
    <tableColumn id="5" xr3:uid="{C0057CAE-CCDE-4B1B-952C-C90A275AF29F}" name="Note" dataDxfId="22"/>
    <tableColumn id="3" xr3:uid="{B2764E13-1CF4-48FF-98B5-E29369C4D7B1}" name="Pagamento" dataDxfId="21"/>
    <tableColumn id="7" xr3:uid="{DF0F5AC0-49E5-45A0-B9AA-2CEF4F981F09}" name="Intestatario" dataDxfId="20"/>
  </tableColumns>
  <tableStyleInfo name="TableStyleLight1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824BB-0044-40BD-A30B-C6ACA1C4DD3C}" name="tbl_investimenti_compilazione" displayName="tbl_investimenti_compilazione" ref="B11:H23" totalsRowShown="0" headerRowDxfId="19" dataDxfId="18">
  <autoFilter ref="B11:H23" xr:uid="{D33952EC-A5BF-47A5-8A27-B1D15A6F8029}"/>
  <tableColumns count="7">
    <tableColumn id="1" xr3:uid="{58D217EF-6C05-423F-9A92-47CE5B32C76D}" name="Data" dataDxfId="17"/>
    <tableColumn id="2" xr3:uid="{5F06DA4A-4005-4E67-B349-1E23A3777C6A}" name="Mese" dataDxfId="16"/>
    <tableColumn id="3" xr3:uid="{DF4B52D8-80D4-49C2-8F7A-E8A19DC81985}" name="Categoria" dataDxfId="15"/>
    <tableColumn id="4" xr3:uid="{C456FE0E-D17E-491C-988A-9F8EC847D589}" name="Euro" dataDxfId="14"/>
    <tableColumn id="5" xr3:uid="{13108E63-34B9-47A5-A601-CEA1928241DA}" name="Note" dataDxfId="13"/>
    <tableColumn id="6" xr3:uid="{6BC6B04D-3AF6-4EA8-BA8C-29CFB7E84FC7}" name="Pagamento" dataDxfId="12"/>
    <tableColumn id="7" xr3:uid="{B8427E83-D4C3-4400-8187-418D313700AF}" name="Intestatario" dataDxfId="1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solidFill>
          <a:schemeClr val="bg1">
            <a:lumMod val="85000"/>
          </a:schemeClr>
        </a:solidFill>
        <a:ln w="9525" cmpd="sng">
          <a:noFill/>
        </a:ln>
      </a:spPr>
      <a:bodyPr vertOverflow="clip" horzOverflow="clip" wrap="square" rtlCol="0" anchor="t"/>
      <a:lstStyle>
        <a:defPPr algn="r">
          <a:defRPr sz="1100" b="1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07/relationships/slicer" Target="../slicers/slicer2.xml"/><Relationship Id="rId5" Type="http://schemas.openxmlformats.org/officeDocument/2006/relationships/table" Target="../tables/table21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5" Type="http://schemas.microsoft.com/office/2007/relationships/slicer" Target="../slicers/slicer3.xml"/><Relationship Id="rId4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5" Type="http://schemas.microsoft.com/office/2007/relationships/slicer" Target="../slicers/slicer4.xml"/><Relationship Id="rId4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microsoft.com/office/2007/relationships/slicer" Target="../slicers/slicer5.xml"/><Relationship Id="rId5" Type="http://schemas.openxmlformats.org/officeDocument/2006/relationships/table" Target="../tables/table24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Relationship Id="rId6" Type="http://schemas.microsoft.com/office/2007/relationships/slicer" Target="../slicers/slicer6.xml"/><Relationship Id="rId5" Type="http://schemas.openxmlformats.org/officeDocument/2006/relationships/table" Target="../tables/table2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36169-E8A6-4F19-967C-C552175A9ACB}">
  <sheetPr codeName="Foglio11"/>
  <dimension ref="A1:AT22"/>
  <sheetViews>
    <sheetView zoomScaleNormal="100" workbookViewId="0">
      <selection activeCell="A19" sqref="A19"/>
    </sheetView>
  </sheetViews>
  <sheetFormatPr defaultRowHeight="14.4" x14ac:dyDescent="0.3"/>
  <cols>
    <col min="2" max="2" width="11" customWidth="1"/>
    <col min="4" max="4" width="10" customWidth="1"/>
    <col min="6" max="6" width="10.109375" customWidth="1"/>
    <col min="7" max="8" width="9" bestFit="1" customWidth="1"/>
    <col min="9" max="9" width="9.44140625" bestFit="1" customWidth="1"/>
    <col min="11" max="11" width="9.88671875" customWidth="1"/>
    <col min="12" max="12" width="10.21875" customWidth="1"/>
    <col min="15" max="15" width="13.109375" bestFit="1" customWidth="1"/>
    <col min="17" max="17" width="9.88671875" bestFit="1" customWidth="1"/>
    <col min="41" max="41" width="11.109375" customWidth="1"/>
  </cols>
  <sheetData>
    <row r="1" spans="1:46" x14ac:dyDescent="0.3">
      <c r="A1" s="173">
        <f>IMPOSTAZIONI!E5</f>
        <v>2025</v>
      </c>
    </row>
    <row r="2" spans="1:46" x14ac:dyDescent="0.3">
      <c r="B2" s="51" t="s">
        <v>114</v>
      </c>
      <c r="C2" s="51" t="s">
        <v>114</v>
      </c>
      <c r="D2" s="51" t="s">
        <v>114</v>
      </c>
      <c r="F2" s="51" t="s">
        <v>115</v>
      </c>
      <c r="G2" s="51" t="s">
        <v>115</v>
      </c>
      <c r="H2" s="51" t="s">
        <v>115</v>
      </c>
      <c r="I2" s="51" t="s">
        <v>115</v>
      </c>
      <c r="K2" s="51" t="s">
        <v>286</v>
      </c>
      <c r="L2" s="51" t="s">
        <v>286</v>
      </c>
      <c r="N2" s="51" t="s">
        <v>30</v>
      </c>
      <c r="O2" s="32" t="s">
        <v>31</v>
      </c>
      <c r="Q2" t="s">
        <v>28</v>
      </c>
      <c r="V2" t="s">
        <v>29</v>
      </c>
      <c r="AA2" t="s">
        <v>30</v>
      </c>
      <c r="AF2" t="s">
        <v>31</v>
      </c>
      <c r="AK2" t="s">
        <v>291</v>
      </c>
    </row>
    <row r="3" spans="1:46" x14ac:dyDescent="0.3">
      <c r="B3" s="51" t="s">
        <v>39</v>
      </c>
      <c r="C3" s="51" t="s">
        <v>49</v>
      </c>
      <c r="D3" s="51" t="s">
        <v>111</v>
      </c>
      <c r="F3" s="51" t="s">
        <v>113</v>
      </c>
      <c r="G3" s="51" t="s">
        <v>74</v>
      </c>
      <c r="H3" s="51" t="s">
        <v>246</v>
      </c>
      <c r="I3" s="51" t="s">
        <v>111</v>
      </c>
      <c r="K3" s="51" t="s">
        <v>158</v>
      </c>
      <c r="L3" s="51" t="s">
        <v>187</v>
      </c>
      <c r="N3" s="51" t="s">
        <v>117</v>
      </c>
      <c r="O3" s="51" t="s">
        <v>45</v>
      </c>
      <c r="Q3" s="51" t="s">
        <v>288</v>
      </c>
      <c r="R3" s="51" t="s">
        <v>141</v>
      </c>
      <c r="S3" s="51" t="s">
        <v>142</v>
      </c>
      <c r="T3" s="51" t="s">
        <v>120</v>
      </c>
      <c r="V3" s="51" t="s">
        <v>288</v>
      </c>
      <c r="W3" s="51" t="s">
        <v>141</v>
      </c>
      <c r="X3" s="51" t="s">
        <v>142</v>
      </c>
      <c r="Y3" s="51" t="s">
        <v>120</v>
      </c>
      <c r="AA3" s="51" t="s">
        <v>289</v>
      </c>
      <c r="AB3" s="51" t="s">
        <v>141</v>
      </c>
      <c r="AC3" s="51" t="s">
        <v>142</v>
      </c>
      <c r="AD3" s="51" t="s">
        <v>120</v>
      </c>
      <c r="AF3" s="51" t="s">
        <v>289</v>
      </c>
      <c r="AG3" s="51" t="s">
        <v>141</v>
      </c>
      <c r="AH3" s="51" t="s">
        <v>142</v>
      </c>
      <c r="AI3" s="51" t="s">
        <v>120</v>
      </c>
      <c r="AK3" s="51" t="s">
        <v>113</v>
      </c>
      <c r="AL3" s="51" t="s">
        <v>74</v>
      </c>
      <c r="AM3" s="51" t="s">
        <v>292</v>
      </c>
      <c r="AN3" s="51" t="s">
        <v>117</v>
      </c>
      <c r="AO3" s="51" t="s">
        <v>45</v>
      </c>
      <c r="AP3" s="51" t="s">
        <v>158</v>
      </c>
      <c r="AR3" s="51" t="s">
        <v>40</v>
      </c>
      <c r="AS3" s="51" t="s">
        <v>55</v>
      </c>
      <c r="AT3" s="51" t="s">
        <v>105</v>
      </c>
    </row>
    <row r="4" spans="1:46" x14ac:dyDescent="0.3">
      <c r="A4" t="s">
        <v>5</v>
      </c>
      <c r="B4" s="29">
        <f>CALCOLI!B19</f>
        <v>0</v>
      </c>
      <c r="C4" s="29">
        <f>CALCOLI!C19</f>
        <v>0</v>
      </c>
      <c r="D4" s="29">
        <f>CALCOLI!D19</f>
        <v>0</v>
      </c>
      <c r="F4" s="29">
        <f>CALCOLI!B35</f>
        <v>0</v>
      </c>
      <c r="G4" s="29">
        <f>CALCOLI!C35</f>
        <v>0</v>
      </c>
      <c r="H4" s="29">
        <f>CALCOLI!D35</f>
        <v>0</v>
      </c>
      <c r="I4" s="29">
        <f>CALCOLI!E35</f>
        <v>0</v>
      </c>
      <c r="K4">
        <f>CALCOLI!I19</f>
        <v>0</v>
      </c>
      <c r="L4">
        <f>CALCOLI!J19</f>
        <v>0</v>
      </c>
      <c r="N4">
        <f>CALCOLI!G19</f>
        <v>0</v>
      </c>
      <c r="O4">
        <f>CALCOLI!I35</f>
        <v>0</v>
      </c>
      <c r="Q4">
        <f>CALCOLI!G70</f>
        <v>0</v>
      </c>
      <c r="R4" s="197">
        <f>CALCOLI!H70</f>
        <v>0</v>
      </c>
      <c r="S4" s="197">
        <f>CALCOLI!I70</f>
        <v>1</v>
      </c>
      <c r="T4" t="str">
        <f>CALCOLI!J70</f>
        <v>--</v>
      </c>
      <c r="V4">
        <f>CALCOLI!G86</f>
        <v>0</v>
      </c>
      <c r="W4">
        <f>CALCOLI!H86</f>
        <v>0</v>
      </c>
      <c r="X4">
        <f>CALCOLI!I86</f>
        <v>1</v>
      </c>
      <c r="Y4" t="str">
        <f>CALCOLI!J86</f>
        <v>--</v>
      </c>
      <c r="AA4">
        <f>CALCOLI!G102</f>
        <v>0</v>
      </c>
      <c r="AB4">
        <f>CALCOLI!H102</f>
        <v>0</v>
      </c>
      <c r="AC4">
        <f>CALCOLI!I102</f>
        <v>1</v>
      </c>
      <c r="AD4" t="str">
        <f>CALCOLI!J102</f>
        <v>--</v>
      </c>
      <c r="AF4">
        <f>CALCOLI!G118</f>
        <v>0</v>
      </c>
      <c r="AG4">
        <f>CALCOLI!H118</f>
        <v>0</v>
      </c>
      <c r="AH4">
        <f>CALCOLI!I118</f>
        <v>1</v>
      </c>
      <c r="AI4" t="str">
        <f>CALCOLI!J118</f>
        <v>--</v>
      </c>
      <c r="AK4" s="54">
        <f>CALCOLI!L70</f>
        <v>0</v>
      </c>
      <c r="AL4" s="54">
        <f>CALCOLI!M70</f>
        <v>0</v>
      </c>
      <c r="AM4" s="54">
        <f>CALCOLI!N70</f>
        <v>0</v>
      </c>
      <c r="AN4" s="54">
        <f>CALCOLI!O70</f>
        <v>0</v>
      </c>
      <c r="AO4" s="54">
        <f>CALCOLI!P70</f>
        <v>0</v>
      </c>
      <c r="AP4" s="54">
        <f>CALCOLI!Q70</f>
        <v>0</v>
      </c>
      <c r="AR4">
        <f>CALCOLI!U3</f>
        <v>0</v>
      </c>
      <c r="AS4">
        <f>CALCOLI!V3</f>
        <v>0</v>
      </c>
      <c r="AT4">
        <f>CALCOLI!W3</f>
        <v>0</v>
      </c>
    </row>
    <row r="5" spans="1:46" x14ac:dyDescent="0.3">
      <c r="A5" t="s">
        <v>6</v>
      </c>
      <c r="B5" s="29">
        <f>CALCOLI!B20</f>
        <v>0</v>
      </c>
      <c r="C5" s="29">
        <f>CALCOLI!C20</f>
        <v>0</v>
      </c>
      <c r="D5" s="29">
        <f>CALCOLI!D20</f>
        <v>0</v>
      </c>
      <c r="F5" s="29">
        <f>CALCOLI!B36</f>
        <v>0</v>
      </c>
      <c r="G5" s="29">
        <f>CALCOLI!C36</f>
        <v>0</v>
      </c>
      <c r="H5" s="29">
        <f>CALCOLI!D36</f>
        <v>0</v>
      </c>
      <c r="I5" s="29">
        <f>CALCOLI!E36</f>
        <v>0</v>
      </c>
      <c r="K5">
        <f>CALCOLI!I20</f>
        <v>0</v>
      </c>
      <c r="L5">
        <f>CALCOLI!J20</f>
        <v>0</v>
      </c>
      <c r="N5">
        <f>CALCOLI!G20</f>
        <v>0</v>
      </c>
      <c r="O5">
        <f>CALCOLI!I36</f>
        <v>0</v>
      </c>
      <c r="Q5">
        <f>CALCOLI!G71</f>
        <v>0</v>
      </c>
      <c r="R5" s="197">
        <f>CALCOLI!H71</f>
        <v>0</v>
      </c>
      <c r="S5" s="197">
        <f>CALCOLI!I71</f>
        <v>1</v>
      </c>
      <c r="T5" t="str">
        <f>CALCOLI!J71</f>
        <v>--</v>
      </c>
      <c r="V5">
        <f>CALCOLI!G87</f>
        <v>0</v>
      </c>
      <c r="W5">
        <f>CALCOLI!H87</f>
        <v>0</v>
      </c>
      <c r="X5">
        <f>CALCOLI!I87</f>
        <v>1</v>
      </c>
      <c r="Y5" t="str">
        <f>CALCOLI!J87</f>
        <v>--</v>
      </c>
      <c r="AA5">
        <f>CALCOLI!G103</f>
        <v>0</v>
      </c>
      <c r="AB5">
        <f>CALCOLI!H103</f>
        <v>0</v>
      </c>
      <c r="AC5">
        <f>CALCOLI!I103</f>
        <v>1</v>
      </c>
      <c r="AD5" t="str">
        <f>CALCOLI!J103</f>
        <v>--</v>
      </c>
      <c r="AF5">
        <f>CALCOLI!G119</f>
        <v>0</v>
      </c>
      <c r="AG5">
        <f>CALCOLI!H119</f>
        <v>0</v>
      </c>
      <c r="AH5">
        <f>CALCOLI!I119</f>
        <v>1</v>
      </c>
      <c r="AI5" t="str">
        <f>CALCOLI!J119</f>
        <v>--</v>
      </c>
      <c r="AK5" s="54">
        <f>CALCOLI!L71</f>
        <v>0</v>
      </c>
      <c r="AL5" s="54">
        <f>CALCOLI!M71</f>
        <v>0</v>
      </c>
      <c r="AM5" s="54">
        <f>CALCOLI!N71</f>
        <v>0</v>
      </c>
      <c r="AN5" s="54">
        <f>CALCOLI!O71</f>
        <v>0</v>
      </c>
      <c r="AO5" s="54">
        <f>CALCOLI!P71</f>
        <v>0</v>
      </c>
      <c r="AP5" s="54">
        <f>CALCOLI!Q71</f>
        <v>0</v>
      </c>
      <c r="AR5">
        <f>CALCOLI!U4</f>
        <v>0</v>
      </c>
      <c r="AS5">
        <f>CALCOLI!V4</f>
        <v>0</v>
      </c>
      <c r="AT5">
        <f>CALCOLI!W4</f>
        <v>0</v>
      </c>
    </row>
    <row r="6" spans="1:46" x14ac:dyDescent="0.3">
      <c r="A6" t="s">
        <v>8</v>
      </c>
      <c r="B6" s="29">
        <f>CALCOLI!B21</f>
        <v>0</v>
      </c>
      <c r="C6" s="29">
        <f>CALCOLI!C21</f>
        <v>0</v>
      </c>
      <c r="D6" s="29">
        <f>CALCOLI!D21</f>
        <v>0</v>
      </c>
      <c r="F6" s="29">
        <f>CALCOLI!B37</f>
        <v>0</v>
      </c>
      <c r="G6" s="29">
        <f>CALCOLI!C37</f>
        <v>0</v>
      </c>
      <c r="H6" s="29">
        <f>CALCOLI!D37</f>
        <v>0</v>
      </c>
      <c r="I6" s="29">
        <f>CALCOLI!E37</f>
        <v>0</v>
      </c>
      <c r="K6">
        <f>CALCOLI!I21</f>
        <v>0</v>
      </c>
      <c r="L6">
        <f>CALCOLI!J21</f>
        <v>0</v>
      </c>
      <c r="N6">
        <f>CALCOLI!G21</f>
        <v>0</v>
      </c>
      <c r="O6">
        <f>CALCOLI!I37</f>
        <v>0</v>
      </c>
      <c r="Q6">
        <f>CALCOLI!G72</f>
        <v>0</v>
      </c>
      <c r="R6" s="197">
        <f>CALCOLI!H72</f>
        <v>0</v>
      </c>
      <c r="S6" s="197">
        <f>CALCOLI!I72</f>
        <v>1</v>
      </c>
      <c r="T6" t="str">
        <f>CALCOLI!J72</f>
        <v>--</v>
      </c>
      <c r="V6">
        <f>CALCOLI!G88</f>
        <v>0</v>
      </c>
      <c r="W6">
        <f>CALCOLI!H88</f>
        <v>0</v>
      </c>
      <c r="X6">
        <f>CALCOLI!I88</f>
        <v>1</v>
      </c>
      <c r="Y6" t="str">
        <f>CALCOLI!J88</f>
        <v>--</v>
      </c>
      <c r="AA6">
        <f>CALCOLI!G104</f>
        <v>0</v>
      </c>
      <c r="AB6">
        <f>CALCOLI!H104</f>
        <v>0</v>
      </c>
      <c r="AC6">
        <f>CALCOLI!I104</f>
        <v>1</v>
      </c>
      <c r="AD6" t="str">
        <f>CALCOLI!J104</f>
        <v>--</v>
      </c>
      <c r="AF6">
        <f>CALCOLI!G120</f>
        <v>0</v>
      </c>
      <c r="AG6">
        <f>CALCOLI!H120</f>
        <v>0</v>
      </c>
      <c r="AH6">
        <f>CALCOLI!I120</f>
        <v>1</v>
      </c>
      <c r="AI6" t="str">
        <f>CALCOLI!J120</f>
        <v>--</v>
      </c>
      <c r="AK6" s="54">
        <f>CALCOLI!L72</f>
        <v>0</v>
      </c>
      <c r="AL6" s="54">
        <f>CALCOLI!M72</f>
        <v>0</v>
      </c>
      <c r="AM6" s="54">
        <f>CALCOLI!N72</f>
        <v>0</v>
      </c>
      <c r="AN6" s="54">
        <f>CALCOLI!O72</f>
        <v>0</v>
      </c>
      <c r="AO6" s="54">
        <f>CALCOLI!P72</f>
        <v>0</v>
      </c>
      <c r="AP6" s="54">
        <f>CALCOLI!Q72</f>
        <v>0</v>
      </c>
      <c r="AR6">
        <f>CALCOLI!U5</f>
        <v>0</v>
      </c>
      <c r="AS6">
        <f>CALCOLI!V5</f>
        <v>0</v>
      </c>
      <c r="AT6">
        <f>CALCOLI!W5</f>
        <v>0</v>
      </c>
    </row>
    <row r="7" spans="1:46" x14ac:dyDescent="0.3">
      <c r="A7" t="s">
        <v>9</v>
      </c>
      <c r="B7" s="29">
        <f>CALCOLI!B22</f>
        <v>0</v>
      </c>
      <c r="C7" s="29">
        <f>CALCOLI!C22</f>
        <v>0</v>
      </c>
      <c r="D7" s="29">
        <f>CALCOLI!D22</f>
        <v>0</v>
      </c>
      <c r="F7" s="29">
        <f>CALCOLI!B38</f>
        <v>0</v>
      </c>
      <c r="G7" s="29">
        <f>CALCOLI!C38</f>
        <v>0</v>
      </c>
      <c r="H7" s="29">
        <f>CALCOLI!D38</f>
        <v>0</v>
      </c>
      <c r="I7" s="29">
        <f>CALCOLI!E38</f>
        <v>0</v>
      </c>
      <c r="K7">
        <f>CALCOLI!I22</f>
        <v>0</v>
      </c>
      <c r="L7">
        <f>CALCOLI!J22</f>
        <v>0</v>
      </c>
      <c r="N7">
        <f>CALCOLI!G22</f>
        <v>0</v>
      </c>
      <c r="O7">
        <f>CALCOLI!I38</f>
        <v>0</v>
      </c>
      <c r="Q7">
        <f>CALCOLI!G73</f>
        <v>0</v>
      </c>
      <c r="R7" s="197">
        <f>CALCOLI!H73</f>
        <v>0</v>
      </c>
      <c r="S7" s="197">
        <f>CALCOLI!I73</f>
        <v>1</v>
      </c>
      <c r="T7" t="str">
        <f>CALCOLI!J73</f>
        <v>--</v>
      </c>
      <c r="V7">
        <f>CALCOLI!G89</f>
        <v>0</v>
      </c>
      <c r="W7">
        <f>CALCOLI!H89</f>
        <v>0</v>
      </c>
      <c r="X7">
        <f>CALCOLI!I89</f>
        <v>1</v>
      </c>
      <c r="Y7" t="str">
        <f>CALCOLI!J89</f>
        <v>--</v>
      </c>
      <c r="AA7">
        <f>CALCOLI!G105</f>
        <v>0</v>
      </c>
      <c r="AB7">
        <f>CALCOLI!H105</f>
        <v>0</v>
      </c>
      <c r="AC7">
        <f>CALCOLI!I105</f>
        <v>1</v>
      </c>
      <c r="AD7" t="str">
        <f>CALCOLI!J105</f>
        <v>--</v>
      </c>
      <c r="AF7">
        <f>CALCOLI!G121</f>
        <v>0</v>
      </c>
      <c r="AG7">
        <f>CALCOLI!H121</f>
        <v>0</v>
      </c>
      <c r="AH7">
        <f>CALCOLI!I121</f>
        <v>1</v>
      </c>
      <c r="AI7" t="str">
        <f>CALCOLI!J121</f>
        <v>--</v>
      </c>
      <c r="AK7" s="54">
        <f>CALCOLI!L73</f>
        <v>0</v>
      </c>
      <c r="AL7" s="54">
        <f>CALCOLI!M73</f>
        <v>0</v>
      </c>
      <c r="AM7" s="54">
        <f>CALCOLI!N73</f>
        <v>0</v>
      </c>
      <c r="AN7" s="54">
        <f>CALCOLI!O73</f>
        <v>0</v>
      </c>
      <c r="AO7" s="54">
        <f>CALCOLI!P73</f>
        <v>0</v>
      </c>
      <c r="AP7" s="54">
        <f>CALCOLI!Q73</f>
        <v>0</v>
      </c>
      <c r="AR7">
        <f>CALCOLI!U6</f>
        <v>0</v>
      </c>
      <c r="AS7">
        <f>CALCOLI!V6</f>
        <v>0</v>
      </c>
      <c r="AT7">
        <f>CALCOLI!W6</f>
        <v>0</v>
      </c>
    </row>
    <row r="8" spans="1:46" x14ac:dyDescent="0.3">
      <c r="A8" t="s">
        <v>10</v>
      </c>
      <c r="B8" s="29">
        <f>CALCOLI!B23</f>
        <v>0</v>
      </c>
      <c r="C8" s="29">
        <f>CALCOLI!C23</f>
        <v>0</v>
      </c>
      <c r="D8" s="29">
        <f>CALCOLI!D23</f>
        <v>0</v>
      </c>
      <c r="F8" s="29">
        <f>CALCOLI!B39</f>
        <v>0</v>
      </c>
      <c r="G8" s="29">
        <f>CALCOLI!C39</f>
        <v>0</v>
      </c>
      <c r="H8" s="29">
        <f>CALCOLI!D39</f>
        <v>0</v>
      </c>
      <c r="I8" s="29">
        <f>CALCOLI!E39</f>
        <v>0</v>
      </c>
      <c r="K8">
        <f>CALCOLI!I23</f>
        <v>0</v>
      </c>
      <c r="L8">
        <f>CALCOLI!J23</f>
        <v>0</v>
      </c>
      <c r="N8">
        <f>CALCOLI!G23</f>
        <v>0</v>
      </c>
      <c r="O8">
        <f>CALCOLI!I39</f>
        <v>0</v>
      </c>
      <c r="Q8">
        <f>CALCOLI!G74</f>
        <v>0</v>
      </c>
      <c r="R8" s="197">
        <f>CALCOLI!H74</f>
        <v>0</v>
      </c>
      <c r="S8" s="197">
        <f>CALCOLI!I74</f>
        <v>1</v>
      </c>
      <c r="T8" t="str">
        <f>CALCOLI!J74</f>
        <v>--</v>
      </c>
      <c r="V8">
        <f>CALCOLI!G90</f>
        <v>0</v>
      </c>
      <c r="W8">
        <f>CALCOLI!H90</f>
        <v>0</v>
      </c>
      <c r="X8">
        <f>CALCOLI!I90</f>
        <v>1</v>
      </c>
      <c r="Y8" t="str">
        <f>CALCOLI!J90</f>
        <v>--</v>
      </c>
      <c r="AA8">
        <f>CALCOLI!G106</f>
        <v>0</v>
      </c>
      <c r="AB8">
        <f>CALCOLI!H106</f>
        <v>0</v>
      </c>
      <c r="AC8">
        <f>CALCOLI!I106</f>
        <v>1</v>
      </c>
      <c r="AD8" t="str">
        <f>CALCOLI!J106</f>
        <v>--</v>
      </c>
      <c r="AF8">
        <f>CALCOLI!G122</f>
        <v>0</v>
      </c>
      <c r="AG8">
        <f>CALCOLI!H122</f>
        <v>0</v>
      </c>
      <c r="AH8">
        <f>CALCOLI!I122</f>
        <v>1</v>
      </c>
      <c r="AI8" t="str">
        <f>CALCOLI!J122</f>
        <v>--</v>
      </c>
      <c r="AK8" s="54">
        <f>CALCOLI!L74</f>
        <v>0</v>
      </c>
      <c r="AL8" s="54">
        <f>CALCOLI!M74</f>
        <v>0</v>
      </c>
      <c r="AM8" s="54">
        <f>CALCOLI!N74</f>
        <v>0</v>
      </c>
      <c r="AN8" s="54">
        <f>CALCOLI!O74</f>
        <v>0</v>
      </c>
      <c r="AO8" s="54">
        <f>CALCOLI!P74</f>
        <v>0</v>
      </c>
      <c r="AP8" s="54">
        <f>CALCOLI!Q74</f>
        <v>0</v>
      </c>
      <c r="AR8">
        <f>CALCOLI!U7</f>
        <v>0</v>
      </c>
      <c r="AS8">
        <f>CALCOLI!V7</f>
        <v>0</v>
      </c>
      <c r="AT8">
        <f>CALCOLI!W7</f>
        <v>0</v>
      </c>
    </row>
    <row r="9" spans="1:46" x14ac:dyDescent="0.3">
      <c r="A9" t="s">
        <v>11</v>
      </c>
      <c r="B9" s="29">
        <f>CALCOLI!B24</f>
        <v>0</v>
      </c>
      <c r="C9" s="29">
        <f>CALCOLI!C24</f>
        <v>0</v>
      </c>
      <c r="D9" s="29">
        <f>CALCOLI!D24</f>
        <v>0</v>
      </c>
      <c r="F9" s="29">
        <f>CALCOLI!B40</f>
        <v>0</v>
      </c>
      <c r="G9" s="29">
        <f>CALCOLI!C40</f>
        <v>0</v>
      </c>
      <c r="H9" s="29">
        <f>CALCOLI!D40</f>
        <v>0</v>
      </c>
      <c r="I9" s="29">
        <f>CALCOLI!E40</f>
        <v>0</v>
      </c>
      <c r="K9">
        <f>CALCOLI!I24</f>
        <v>0</v>
      </c>
      <c r="L9">
        <f>CALCOLI!J24</f>
        <v>0</v>
      </c>
      <c r="N9">
        <f>CALCOLI!G24</f>
        <v>0</v>
      </c>
      <c r="O9">
        <f>CALCOLI!I40</f>
        <v>0</v>
      </c>
      <c r="Q9">
        <f>CALCOLI!G75</f>
        <v>0</v>
      </c>
      <c r="R9" s="197">
        <f>CALCOLI!H75</f>
        <v>0</v>
      </c>
      <c r="S9" s="197">
        <f>CALCOLI!I75</f>
        <v>1</v>
      </c>
      <c r="T9" t="str">
        <f>CALCOLI!J75</f>
        <v>--</v>
      </c>
      <c r="V9">
        <f>CALCOLI!G91</f>
        <v>0</v>
      </c>
      <c r="W9">
        <f>CALCOLI!H91</f>
        <v>0</v>
      </c>
      <c r="X9">
        <f>CALCOLI!I91</f>
        <v>1</v>
      </c>
      <c r="Y9" t="str">
        <f>CALCOLI!J91</f>
        <v>--</v>
      </c>
      <c r="AA9">
        <f>CALCOLI!G107</f>
        <v>0</v>
      </c>
      <c r="AB9">
        <f>CALCOLI!H107</f>
        <v>0</v>
      </c>
      <c r="AC9">
        <f>CALCOLI!I107</f>
        <v>1</v>
      </c>
      <c r="AD9" t="str">
        <f>CALCOLI!J107</f>
        <v>--</v>
      </c>
      <c r="AF9">
        <f>CALCOLI!G123</f>
        <v>0</v>
      </c>
      <c r="AG9">
        <f>CALCOLI!H123</f>
        <v>0</v>
      </c>
      <c r="AH9">
        <f>CALCOLI!I123</f>
        <v>1</v>
      </c>
      <c r="AI9" t="str">
        <f>CALCOLI!J123</f>
        <v>--</v>
      </c>
      <c r="AK9" s="54">
        <f>CALCOLI!L75</f>
        <v>0</v>
      </c>
      <c r="AL9" s="54">
        <f>CALCOLI!M75</f>
        <v>0</v>
      </c>
      <c r="AM9" s="54">
        <f>CALCOLI!N75</f>
        <v>0</v>
      </c>
      <c r="AN9" s="54">
        <f>CALCOLI!O75</f>
        <v>0</v>
      </c>
      <c r="AO9" s="54">
        <f>CALCOLI!P75</f>
        <v>0</v>
      </c>
      <c r="AP9" s="54">
        <f>CALCOLI!Q75</f>
        <v>0</v>
      </c>
      <c r="AR9">
        <f>CALCOLI!U8</f>
        <v>0</v>
      </c>
      <c r="AS9">
        <f>CALCOLI!V8</f>
        <v>0</v>
      </c>
      <c r="AT9">
        <f>CALCOLI!W8</f>
        <v>0</v>
      </c>
    </row>
    <row r="10" spans="1:46" x14ac:dyDescent="0.3">
      <c r="A10" t="s">
        <v>12</v>
      </c>
      <c r="B10" s="29">
        <f>CALCOLI!B25</f>
        <v>0</v>
      </c>
      <c r="C10" s="29">
        <f>CALCOLI!C25</f>
        <v>0</v>
      </c>
      <c r="D10" s="29">
        <f>CALCOLI!D25</f>
        <v>0</v>
      </c>
      <c r="F10" s="29">
        <f>CALCOLI!B41</f>
        <v>0</v>
      </c>
      <c r="G10" s="29">
        <f>CALCOLI!C41</f>
        <v>0</v>
      </c>
      <c r="H10" s="29">
        <f>CALCOLI!D41</f>
        <v>0</v>
      </c>
      <c r="I10" s="29">
        <f>CALCOLI!E41</f>
        <v>0</v>
      </c>
      <c r="K10">
        <f>CALCOLI!I25</f>
        <v>0</v>
      </c>
      <c r="L10">
        <f>CALCOLI!J25</f>
        <v>0</v>
      </c>
      <c r="N10">
        <f>CALCOLI!G25</f>
        <v>0</v>
      </c>
      <c r="O10">
        <f>CALCOLI!I41</f>
        <v>0</v>
      </c>
      <c r="Q10">
        <f>CALCOLI!G76</f>
        <v>0</v>
      </c>
      <c r="R10" s="197">
        <f>CALCOLI!H76</f>
        <v>0</v>
      </c>
      <c r="S10" s="197">
        <f>CALCOLI!I76</f>
        <v>1</v>
      </c>
      <c r="T10" t="str">
        <f>CALCOLI!J76</f>
        <v>--</v>
      </c>
      <c r="V10">
        <f>CALCOLI!G92</f>
        <v>0</v>
      </c>
      <c r="W10">
        <f>CALCOLI!H92</f>
        <v>0</v>
      </c>
      <c r="X10">
        <f>CALCOLI!I92</f>
        <v>1</v>
      </c>
      <c r="Y10" t="str">
        <f>CALCOLI!J92</f>
        <v>--</v>
      </c>
      <c r="AA10">
        <f>CALCOLI!G108</f>
        <v>0</v>
      </c>
      <c r="AB10">
        <f>CALCOLI!H108</f>
        <v>0</v>
      </c>
      <c r="AC10">
        <f>CALCOLI!I108</f>
        <v>1</v>
      </c>
      <c r="AD10" t="str">
        <f>CALCOLI!J108</f>
        <v>--</v>
      </c>
      <c r="AF10">
        <f>CALCOLI!G124</f>
        <v>0</v>
      </c>
      <c r="AG10">
        <f>CALCOLI!H124</f>
        <v>0</v>
      </c>
      <c r="AH10">
        <f>CALCOLI!I124</f>
        <v>1</v>
      </c>
      <c r="AI10" t="str">
        <f>CALCOLI!J124</f>
        <v>--</v>
      </c>
      <c r="AK10" s="54">
        <f>CALCOLI!L76</f>
        <v>0</v>
      </c>
      <c r="AL10" s="54">
        <f>CALCOLI!M76</f>
        <v>0</v>
      </c>
      <c r="AM10" s="54">
        <f>CALCOLI!N76</f>
        <v>0</v>
      </c>
      <c r="AN10" s="54">
        <f>CALCOLI!O76</f>
        <v>0</v>
      </c>
      <c r="AO10" s="54">
        <f>CALCOLI!P76</f>
        <v>0</v>
      </c>
      <c r="AP10" s="54">
        <f>CALCOLI!Q76</f>
        <v>0</v>
      </c>
      <c r="AR10">
        <f>CALCOLI!U9</f>
        <v>0</v>
      </c>
      <c r="AS10">
        <f>CALCOLI!V9</f>
        <v>0</v>
      </c>
      <c r="AT10">
        <f>CALCOLI!W9</f>
        <v>0</v>
      </c>
    </row>
    <row r="11" spans="1:46" x14ac:dyDescent="0.3">
      <c r="A11" t="s">
        <v>13</v>
      </c>
      <c r="B11" s="29">
        <f>CALCOLI!B26</f>
        <v>0</v>
      </c>
      <c r="C11" s="29">
        <f>CALCOLI!C26</f>
        <v>0</v>
      </c>
      <c r="D11" s="29">
        <f>CALCOLI!D26</f>
        <v>0</v>
      </c>
      <c r="F11" s="29">
        <f>CALCOLI!B42</f>
        <v>0</v>
      </c>
      <c r="G11" s="29">
        <f>CALCOLI!C42</f>
        <v>0</v>
      </c>
      <c r="H11" s="29">
        <f>CALCOLI!D42</f>
        <v>0</v>
      </c>
      <c r="I11" s="29">
        <f>CALCOLI!E42</f>
        <v>0</v>
      </c>
      <c r="K11">
        <f>CALCOLI!I26</f>
        <v>0</v>
      </c>
      <c r="L11">
        <f>CALCOLI!J26</f>
        <v>0</v>
      </c>
      <c r="N11">
        <f>CALCOLI!G26</f>
        <v>0</v>
      </c>
      <c r="O11">
        <f>CALCOLI!I42</f>
        <v>0</v>
      </c>
      <c r="Q11">
        <f>CALCOLI!G77</f>
        <v>0</v>
      </c>
      <c r="R11" s="197">
        <f>CALCOLI!H77</f>
        <v>0</v>
      </c>
      <c r="S11" s="197">
        <f>CALCOLI!I77</f>
        <v>1</v>
      </c>
      <c r="T11" t="str">
        <f>CALCOLI!J77</f>
        <v>--</v>
      </c>
      <c r="V11">
        <f>CALCOLI!G93</f>
        <v>0</v>
      </c>
      <c r="W11">
        <f>CALCOLI!H93</f>
        <v>0</v>
      </c>
      <c r="X11">
        <f>CALCOLI!I93</f>
        <v>1</v>
      </c>
      <c r="Y11" t="str">
        <f>CALCOLI!J93</f>
        <v>--</v>
      </c>
      <c r="AA11">
        <f>CALCOLI!G109</f>
        <v>0</v>
      </c>
      <c r="AB11">
        <f>CALCOLI!H109</f>
        <v>0</v>
      </c>
      <c r="AC11">
        <f>CALCOLI!I109</f>
        <v>1</v>
      </c>
      <c r="AD11" t="str">
        <f>CALCOLI!J109</f>
        <v>--</v>
      </c>
      <c r="AF11">
        <f>CALCOLI!G125</f>
        <v>0</v>
      </c>
      <c r="AG11">
        <f>CALCOLI!H125</f>
        <v>0</v>
      </c>
      <c r="AH11">
        <f>CALCOLI!I125</f>
        <v>1</v>
      </c>
      <c r="AI11" t="str">
        <f>CALCOLI!J125</f>
        <v>--</v>
      </c>
      <c r="AK11" s="54">
        <f>CALCOLI!L77</f>
        <v>0</v>
      </c>
      <c r="AL11" s="54">
        <f>CALCOLI!M77</f>
        <v>0</v>
      </c>
      <c r="AM11" s="54">
        <f>CALCOLI!N77</f>
        <v>0</v>
      </c>
      <c r="AN11" s="54">
        <f>CALCOLI!O77</f>
        <v>0</v>
      </c>
      <c r="AO11" s="54">
        <f>CALCOLI!P77</f>
        <v>0</v>
      </c>
      <c r="AP11" s="54">
        <f>CALCOLI!Q77</f>
        <v>0</v>
      </c>
      <c r="AR11">
        <f>CALCOLI!U10</f>
        <v>0</v>
      </c>
      <c r="AS11">
        <f>CALCOLI!V10</f>
        <v>0</v>
      </c>
      <c r="AT11">
        <f>CALCOLI!W10</f>
        <v>0</v>
      </c>
    </row>
    <row r="12" spans="1:46" x14ac:dyDescent="0.3">
      <c r="A12" t="s">
        <v>14</v>
      </c>
      <c r="B12" s="29">
        <f>CALCOLI!B27</f>
        <v>681</v>
      </c>
      <c r="C12" s="29">
        <f>CALCOLI!C27</f>
        <v>107.03999999999996</v>
      </c>
      <c r="D12" s="29">
        <f>CALCOLI!D27</f>
        <v>788.04</v>
      </c>
      <c r="F12" s="29">
        <f>CALCOLI!B43</f>
        <v>505.24</v>
      </c>
      <c r="G12" s="29">
        <f>CALCOLI!C43</f>
        <v>485.28</v>
      </c>
      <c r="H12" s="29">
        <f>CALCOLI!D43</f>
        <v>0</v>
      </c>
      <c r="I12" s="29">
        <f>CALCOLI!E43</f>
        <v>990.52</v>
      </c>
      <c r="K12">
        <f>CALCOLI!I27</f>
        <v>-202.48000000000002</v>
      </c>
      <c r="L12">
        <f>CALCOLI!J27</f>
        <v>-202.48000000000002</v>
      </c>
      <c r="N12">
        <f>CALCOLI!G27</f>
        <v>0</v>
      </c>
      <c r="O12">
        <f>CALCOLI!I43</f>
        <v>0</v>
      </c>
      <c r="Q12">
        <f>CALCOLI!G78</f>
        <v>394.02</v>
      </c>
      <c r="R12" s="197">
        <f>CALCOLI!H78</f>
        <v>1.2822699355362672</v>
      </c>
      <c r="S12" s="197">
        <f>CALCOLI!I78</f>
        <v>0</v>
      </c>
      <c r="T12" t="str">
        <f>CALCOLI!J78</f>
        <v>--</v>
      </c>
      <c r="V12">
        <f>CALCOLI!G94</f>
        <v>236.41199999999998</v>
      </c>
      <c r="W12">
        <f>CALCOLI!H94</f>
        <v>2.0526876808283845</v>
      </c>
      <c r="X12">
        <f>CALCOLI!I94</f>
        <v>0</v>
      </c>
      <c r="Y12" t="str">
        <f>CALCOLI!J94</f>
        <v>--</v>
      </c>
      <c r="AA12">
        <f>CALCOLI!G110</f>
        <v>149.7276</v>
      </c>
      <c r="AB12">
        <f>CALCOLI!H110</f>
        <v>0</v>
      </c>
      <c r="AC12">
        <f>CALCOLI!I110</f>
        <v>1</v>
      </c>
      <c r="AD12">
        <f>CALCOLI!J110</f>
        <v>149.7276</v>
      </c>
      <c r="AF12">
        <f>CALCOLI!G126</f>
        <v>7.8803999999999998</v>
      </c>
      <c r="AG12">
        <f>CALCOLI!H126</f>
        <v>0</v>
      </c>
      <c r="AH12">
        <f>CALCOLI!I126</f>
        <v>1</v>
      </c>
      <c r="AI12">
        <f>CALCOLI!J126</f>
        <v>7.8803999999999998</v>
      </c>
      <c r="AK12" s="54">
        <f>CALCOLI!L78</f>
        <v>0.64113496776813361</v>
      </c>
      <c r="AL12" s="54">
        <f>CALCOLI!M78</f>
        <v>0.61580630424851535</v>
      </c>
      <c r="AM12" s="54">
        <f>CALCOLI!N78</f>
        <v>0</v>
      </c>
      <c r="AN12" s="54">
        <f>CALCOLI!O78</f>
        <v>0</v>
      </c>
      <c r="AO12" s="54">
        <f>CALCOLI!P78</f>
        <v>0</v>
      </c>
      <c r="AP12" s="54">
        <f>CALCOLI!Q78</f>
        <v>0</v>
      </c>
      <c r="AR12">
        <f>CALCOLI!U11</f>
        <v>0</v>
      </c>
      <c r="AS12">
        <f>CALCOLI!V11</f>
        <v>0</v>
      </c>
      <c r="AT12">
        <f>CALCOLI!W11</f>
        <v>0</v>
      </c>
    </row>
    <row r="13" spans="1:46" x14ac:dyDescent="0.3">
      <c r="A13" t="s">
        <v>15</v>
      </c>
      <c r="B13" s="29">
        <f>CALCOLI!B28</f>
        <v>1664.3</v>
      </c>
      <c r="C13" s="29">
        <f>CALCOLI!C28</f>
        <v>0</v>
      </c>
      <c r="D13" s="29">
        <f>CALCOLI!D28</f>
        <v>1664.3</v>
      </c>
      <c r="F13" s="29">
        <f>CALCOLI!B44</f>
        <v>951.67000000000007</v>
      </c>
      <c r="G13" s="29">
        <f>CALCOLI!C44</f>
        <v>142.4</v>
      </c>
      <c r="H13" s="29">
        <f>CALCOLI!D44</f>
        <v>43.4</v>
      </c>
      <c r="I13" s="29">
        <f>CALCOLI!E44</f>
        <v>1137.4700000000003</v>
      </c>
      <c r="K13">
        <f>CALCOLI!I28</f>
        <v>426.8299999999997</v>
      </c>
      <c r="L13">
        <f>CALCOLI!J28</f>
        <v>526.8299999999997</v>
      </c>
      <c r="N13">
        <f>CALCOLI!G28</f>
        <v>100</v>
      </c>
      <c r="O13">
        <f>CALCOLI!I44</f>
        <v>0</v>
      </c>
      <c r="Q13">
        <f>CALCOLI!G79</f>
        <v>832.15</v>
      </c>
      <c r="R13" s="197">
        <f>CALCOLI!H79</f>
        <v>1.1436279516914019</v>
      </c>
      <c r="S13" s="197">
        <f>CALCOLI!I79</f>
        <v>0</v>
      </c>
      <c r="T13" t="str">
        <f>CALCOLI!J79</f>
        <v>--</v>
      </c>
      <c r="V13">
        <f>CALCOLI!G95</f>
        <v>499.28999999999996</v>
      </c>
      <c r="W13">
        <f>CALCOLI!H95</f>
        <v>0.28520499108734404</v>
      </c>
      <c r="X13">
        <f>CALCOLI!I95</f>
        <v>0.71479500891265602</v>
      </c>
      <c r="Y13">
        <f>CALCOLI!J95</f>
        <v>356.89</v>
      </c>
      <c r="AA13">
        <f>CALCOLI!G111</f>
        <v>316.21699999999998</v>
      </c>
      <c r="AB13">
        <f>CALCOLI!H111</f>
        <v>0.31623853240021887</v>
      </c>
      <c r="AC13">
        <f>CALCOLI!I111</f>
        <v>0.68376146759978118</v>
      </c>
      <c r="AD13">
        <f>CALCOLI!J111</f>
        <v>216.21699999999998</v>
      </c>
      <c r="AF13">
        <f>CALCOLI!G127</f>
        <v>16.643000000000001</v>
      </c>
      <c r="AG13">
        <f>CALCOLI!H127</f>
        <v>0</v>
      </c>
      <c r="AH13">
        <f>CALCOLI!I127</f>
        <v>1</v>
      </c>
      <c r="AI13">
        <f>CALCOLI!J127</f>
        <v>16.643000000000001</v>
      </c>
      <c r="AK13" s="54">
        <f>CALCOLI!L79</f>
        <v>0.57181397584570093</v>
      </c>
      <c r="AL13" s="54">
        <f>CALCOLI!M79</f>
        <v>8.5561497326203217E-2</v>
      </c>
      <c r="AM13" s="54">
        <f>CALCOLI!N79</f>
        <v>2.6077029381722044E-2</v>
      </c>
      <c r="AN13" s="54">
        <f>CALCOLI!O79</f>
        <v>6.008532115604158E-2</v>
      </c>
      <c r="AO13" s="54">
        <f>CALCOLI!P79</f>
        <v>0</v>
      </c>
      <c r="AP13" s="54">
        <f>CALCOLI!Q79</f>
        <v>0.25646217629033208</v>
      </c>
      <c r="AR13">
        <f>CALCOLI!U12</f>
        <v>0</v>
      </c>
      <c r="AS13">
        <f>CALCOLI!V12</f>
        <v>0</v>
      </c>
      <c r="AT13">
        <f>CALCOLI!W12</f>
        <v>0</v>
      </c>
    </row>
    <row r="14" spans="1:46" x14ac:dyDescent="0.3">
      <c r="A14" t="s">
        <v>16</v>
      </c>
      <c r="B14" s="29">
        <f>CALCOLI!B29</f>
        <v>0</v>
      </c>
      <c r="C14" s="29">
        <f>CALCOLI!C29</f>
        <v>0</v>
      </c>
      <c r="D14" s="29">
        <f>CALCOLI!D29</f>
        <v>0</v>
      </c>
      <c r="F14" s="29">
        <f>CALCOLI!B45</f>
        <v>0</v>
      </c>
      <c r="G14" s="29">
        <f>CALCOLI!C45</f>
        <v>0</v>
      </c>
      <c r="H14" s="29">
        <f>CALCOLI!D45</f>
        <v>0</v>
      </c>
      <c r="I14" s="29">
        <f>CALCOLI!E45</f>
        <v>0</v>
      </c>
      <c r="K14">
        <f>CALCOLI!I29</f>
        <v>0</v>
      </c>
      <c r="L14">
        <f>CALCOLI!J29</f>
        <v>0</v>
      </c>
      <c r="N14">
        <f>CALCOLI!G29</f>
        <v>0</v>
      </c>
      <c r="O14">
        <f>CALCOLI!I45</f>
        <v>0</v>
      </c>
      <c r="Q14">
        <f>CALCOLI!G80</f>
        <v>0</v>
      </c>
      <c r="R14" s="197">
        <f>CALCOLI!H80</f>
        <v>0</v>
      </c>
      <c r="S14" s="197">
        <f>CALCOLI!I80</f>
        <v>1</v>
      </c>
      <c r="T14" t="str">
        <f>CALCOLI!J80</f>
        <v>--</v>
      </c>
      <c r="V14">
        <f>CALCOLI!G96</f>
        <v>0</v>
      </c>
      <c r="W14">
        <f>CALCOLI!H96</f>
        <v>0</v>
      </c>
      <c r="X14">
        <f>CALCOLI!I96</f>
        <v>1</v>
      </c>
      <c r="Y14" t="str">
        <f>CALCOLI!J96</f>
        <v>--</v>
      </c>
      <c r="AA14">
        <f>CALCOLI!G112</f>
        <v>0</v>
      </c>
      <c r="AB14">
        <f>CALCOLI!H112</f>
        <v>0</v>
      </c>
      <c r="AC14">
        <f>CALCOLI!I112</f>
        <v>1</v>
      </c>
      <c r="AD14" t="str">
        <f>CALCOLI!J112</f>
        <v>--</v>
      </c>
      <c r="AF14">
        <f>CALCOLI!G128</f>
        <v>0</v>
      </c>
      <c r="AG14">
        <f>CALCOLI!H128</f>
        <v>0</v>
      </c>
      <c r="AH14">
        <f>CALCOLI!I128</f>
        <v>1</v>
      </c>
      <c r="AI14" t="str">
        <f>CALCOLI!J128</f>
        <v>--</v>
      </c>
      <c r="AK14" s="54">
        <f>CALCOLI!L80</f>
        <v>0</v>
      </c>
      <c r="AL14" s="54">
        <f>CALCOLI!M80</f>
        <v>0</v>
      </c>
      <c r="AM14" s="54">
        <f>CALCOLI!N80</f>
        <v>0</v>
      </c>
      <c r="AN14" s="54">
        <f>CALCOLI!O80</f>
        <v>0</v>
      </c>
      <c r="AO14" s="54">
        <f>CALCOLI!P80</f>
        <v>0</v>
      </c>
      <c r="AP14" s="54">
        <f>CALCOLI!Q80</f>
        <v>0</v>
      </c>
      <c r="AR14">
        <f>CALCOLI!U13</f>
        <v>0</v>
      </c>
      <c r="AS14">
        <f>CALCOLI!V13</f>
        <v>0</v>
      </c>
      <c r="AT14">
        <f>CALCOLI!W13</f>
        <v>0</v>
      </c>
    </row>
    <row r="15" spans="1:46" x14ac:dyDescent="0.3">
      <c r="A15" t="s">
        <v>7</v>
      </c>
      <c r="B15" s="29">
        <f>CALCOLI!B30</f>
        <v>0</v>
      </c>
      <c r="C15" s="29">
        <f>CALCOLI!C30</f>
        <v>0</v>
      </c>
      <c r="D15" s="29">
        <f>CALCOLI!D30</f>
        <v>0</v>
      </c>
      <c r="F15" s="29">
        <f>CALCOLI!B46</f>
        <v>0</v>
      </c>
      <c r="G15" s="29">
        <f>CALCOLI!C46</f>
        <v>0</v>
      </c>
      <c r="H15" s="29">
        <f>CALCOLI!D46</f>
        <v>0</v>
      </c>
      <c r="I15" s="29">
        <f>CALCOLI!E46</f>
        <v>0</v>
      </c>
      <c r="K15">
        <f>CALCOLI!I30</f>
        <v>0</v>
      </c>
      <c r="L15">
        <f>CALCOLI!J30</f>
        <v>0</v>
      </c>
      <c r="N15">
        <f>CALCOLI!G30</f>
        <v>0</v>
      </c>
      <c r="O15">
        <f>CALCOLI!I46</f>
        <v>0</v>
      </c>
      <c r="Q15">
        <f>CALCOLI!G81</f>
        <v>0</v>
      </c>
      <c r="R15" s="197">
        <f>CALCOLI!H81</f>
        <v>0</v>
      </c>
      <c r="S15" s="197">
        <f>CALCOLI!I81</f>
        <v>1</v>
      </c>
      <c r="T15" t="str">
        <f>CALCOLI!J81</f>
        <v>--</v>
      </c>
      <c r="V15">
        <f>CALCOLI!G97</f>
        <v>0</v>
      </c>
      <c r="W15">
        <f>CALCOLI!H97</f>
        <v>0</v>
      </c>
      <c r="X15">
        <f>CALCOLI!I97</f>
        <v>1</v>
      </c>
      <c r="Y15" t="str">
        <f>CALCOLI!J97</f>
        <v>--</v>
      </c>
      <c r="AA15">
        <f>CALCOLI!G113</f>
        <v>0</v>
      </c>
      <c r="AB15">
        <f>CALCOLI!H113</f>
        <v>0</v>
      </c>
      <c r="AC15">
        <f>CALCOLI!I113</f>
        <v>1</v>
      </c>
      <c r="AD15" t="str">
        <f>CALCOLI!J113</f>
        <v>--</v>
      </c>
      <c r="AF15">
        <f>CALCOLI!G129</f>
        <v>0</v>
      </c>
      <c r="AG15">
        <f>CALCOLI!H129</f>
        <v>0</v>
      </c>
      <c r="AH15">
        <f>CALCOLI!I129</f>
        <v>1</v>
      </c>
      <c r="AI15" t="str">
        <f>CALCOLI!J129</f>
        <v>--</v>
      </c>
      <c r="AK15" s="54">
        <f>CALCOLI!L81</f>
        <v>0</v>
      </c>
      <c r="AL15" s="54">
        <f>CALCOLI!M81</f>
        <v>0</v>
      </c>
      <c r="AM15" s="54">
        <f>CALCOLI!N81</f>
        <v>0</v>
      </c>
      <c r="AN15" s="54">
        <f>CALCOLI!O81</f>
        <v>0</v>
      </c>
      <c r="AO15" s="54">
        <f>CALCOLI!P81</f>
        <v>0</v>
      </c>
      <c r="AP15" s="54">
        <f>CALCOLI!Q81</f>
        <v>0</v>
      </c>
      <c r="AR15">
        <f>CALCOLI!U14</f>
        <v>0</v>
      </c>
      <c r="AS15">
        <f>CALCOLI!V14</f>
        <v>0</v>
      </c>
      <c r="AT15">
        <f>CALCOLI!W14</f>
        <v>0</v>
      </c>
    </row>
    <row r="16" spans="1:46" s="28" customFormat="1" x14ac:dyDescent="0.3">
      <c r="B16" s="37">
        <f>CALCOLI!B31</f>
        <v>2345.3000000000002</v>
      </c>
      <c r="C16" s="37">
        <f>CALCOLI!C31</f>
        <v>107.03999999999996</v>
      </c>
      <c r="D16" s="37">
        <f>CALCOLI!D31</f>
        <v>2452.34</v>
      </c>
      <c r="F16" s="37">
        <f>CALCOLI!B47</f>
        <v>1456.91</v>
      </c>
      <c r="G16" s="37">
        <f>CALCOLI!C47</f>
        <v>627.67999999999995</v>
      </c>
      <c r="H16" s="37">
        <f>CALCOLI!D47</f>
        <v>43.4</v>
      </c>
      <c r="I16" s="37">
        <f>CALCOLI!E47</f>
        <v>2127.9900000000002</v>
      </c>
      <c r="K16" s="28">
        <f>CALCOLI!I31</f>
        <v>224.34999999999991</v>
      </c>
      <c r="L16" s="28">
        <f>CALCOLI!J31</f>
        <v>324.34999999999991</v>
      </c>
      <c r="N16" s="28">
        <f>CALCOLI!G31</f>
        <v>100</v>
      </c>
      <c r="O16" s="28">
        <f>CALCOLI!I47</f>
        <v>0</v>
      </c>
      <c r="Q16" s="28">
        <f>CALCOLI!G82</f>
        <v>1226.17</v>
      </c>
      <c r="R16" s="198">
        <f>CALCOLI!H82</f>
        <v>1.1881794530937799</v>
      </c>
      <c r="S16" s="198">
        <f>CALCOLI!I82</f>
        <v>0</v>
      </c>
      <c r="T16" s="28" t="str">
        <f>CALCOLI!J82</f>
        <v>--</v>
      </c>
      <c r="V16" s="28">
        <f>CALCOLI!G98</f>
        <v>735.702</v>
      </c>
      <c r="W16" s="28">
        <f>CALCOLI!H98</f>
        <v>0.85317152868960522</v>
      </c>
      <c r="X16" s="28">
        <f>CALCOLI!I98</f>
        <v>0.14682847131039478</v>
      </c>
      <c r="Y16" s="28">
        <f>CALCOLI!J98</f>
        <v>108.02200000000005</v>
      </c>
      <c r="AA16" s="28">
        <f>CALCOLI!G114</f>
        <v>465.94460000000004</v>
      </c>
      <c r="AB16" s="28">
        <f>CALCOLI!H114</f>
        <v>0.21461778932516867</v>
      </c>
      <c r="AC16" s="28">
        <f>CALCOLI!I114</f>
        <v>0.78538221067483138</v>
      </c>
      <c r="AD16" s="28">
        <f>CALCOLI!J114</f>
        <v>365.94460000000004</v>
      </c>
      <c r="AF16" s="28">
        <f>CALCOLI!G130</f>
        <v>24.523400000000002</v>
      </c>
      <c r="AG16" s="28">
        <f>CALCOLI!H130</f>
        <v>0</v>
      </c>
      <c r="AH16" s="28">
        <f>CALCOLI!I130</f>
        <v>1</v>
      </c>
      <c r="AI16" s="28">
        <f>CALCOLI!J130</f>
        <v>24.523400000000002</v>
      </c>
      <c r="AK16" s="243">
        <f>CALCOLI!L82</f>
        <v>0.59408972654688996</v>
      </c>
      <c r="AL16" s="243">
        <f>CALCOLI!M82</f>
        <v>0.25595145860688157</v>
      </c>
      <c r="AM16" s="243">
        <f>CALCOLI!N82</f>
        <v>1.7697382907753408E-2</v>
      </c>
      <c r="AN16" s="243">
        <f>CALCOLI!O82</f>
        <v>4.0777379971782053E-2</v>
      </c>
      <c r="AO16" s="243">
        <f>CALCOLI!P82</f>
        <v>0</v>
      </c>
      <c r="AP16" s="243">
        <f>CALCOLI!Q82</f>
        <v>9.1484051966693E-2</v>
      </c>
    </row>
    <row r="19" spans="1:2" x14ac:dyDescent="0.3">
      <c r="A19" t="s">
        <v>294</v>
      </c>
    </row>
    <row r="20" spans="1:2" x14ac:dyDescent="0.3">
      <c r="A20" t="s">
        <v>297</v>
      </c>
      <c r="B20">
        <f>CALCOLI!N49</f>
        <v>1494.1899999999998</v>
      </c>
    </row>
    <row r="21" spans="1:2" x14ac:dyDescent="0.3">
      <c r="A21" t="s">
        <v>295</v>
      </c>
      <c r="B21">
        <f>CALCOLI!N51</f>
        <v>1594.1899999999998</v>
      </c>
    </row>
    <row r="22" spans="1:2" x14ac:dyDescent="0.3">
      <c r="A22" t="s">
        <v>296</v>
      </c>
      <c r="B22">
        <f>CALCOLI!N53</f>
        <v>100</v>
      </c>
    </row>
  </sheetData>
  <phoneticPr fontId="1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BB02-3E83-47A4-AC27-96C781FAAC05}">
  <sheetPr codeName="Foglio3"/>
  <dimension ref="A1:AC130"/>
  <sheetViews>
    <sheetView topLeftCell="A5" zoomScale="80" zoomScaleNormal="80" workbookViewId="0">
      <selection activeCell="K51" sqref="K51"/>
    </sheetView>
  </sheetViews>
  <sheetFormatPr defaultRowHeight="14.4" x14ac:dyDescent="0.3"/>
  <cols>
    <col min="1" max="1" width="19.109375" bestFit="1" customWidth="1"/>
    <col min="2" max="2" width="9.88671875" customWidth="1"/>
    <col min="3" max="3" width="11" customWidth="1"/>
    <col min="4" max="4" width="13.109375" customWidth="1"/>
    <col min="5" max="5" width="11.6640625" customWidth="1"/>
    <col min="6" max="6" width="9.88671875" customWidth="1"/>
    <col min="7" max="7" width="12.77734375" bestFit="1" customWidth="1"/>
    <col min="8" max="8" width="14.109375" bestFit="1" customWidth="1"/>
    <col min="9" max="9" width="9.5546875" customWidth="1"/>
    <col min="10" max="10" width="11.5546875" customWidth="1"/>
    <col min="11" max="11" width="7.5546875" customWidth="1"/>
    <col min="12" max="12" width="12.44140625" customWidth="1"/>
    <col min="13" max="13" width="13.5546875" bestFit="1" customWidth="1"/>
    <col min="14" max="14" width="18.109375" bestFit="1" customWidth="1"/>
    <col min="16" max="16" width="13.33203125" bestFit="1" customWidth="1"/>
    <col min="18" max="18" width="13" customWidth="1"/>
    <col min="19" max="19" width="9.77734375" customWidth="1"/>
    <col min="20" max="20" width="11.44140625" bestFit="1" customWidth="1"/>
    <col min="21" max="21" width="11.88671875" bestFit="1" customWidth="1"/>
    <col min="23" max="23" width="10.33203125" customWidth="1"/>
    <col min="25" max="25" width="9.5546875" bestFit="1" customWidth="1"/>
  </cols>
  <sheetData>
    <row r="1" spans="1:29" x14ac:dyDescent="0.3">
      <c r="A1" s="28" t="s">
        <v>108</v>
      </c>
      <c r="G1" s="28" t="s">
        <v>109</v>
      </c>
      <c r="M1" s="28" t="s">
        <v>110</v>
      </c>
    </row>
    <row r="2" spans="1:29" x14ac:dyDescent="0.3">
      <c r="A2" t="s">
        <v>37</v>
      </c>
      <c r="B2" s="33" t="s">
        <v>40</v>
      </c>
      <c r="G2" t="s">
        <v>37</v>
      </c>
      <c r="H2" s="33" t="s">
        <v>55</v>
      </c>
      <c r="M2" t="s">
        <v>37</v>
      </c>
      <c r="N2" s="33" t="s">
        <v>105</v>
      </c>
      <c r="U2" s="28" t="s">
        <v>40</v>
      </c>
      <c r="V2" s="28" t="s">
        <v>55</v>
      </c>
      <c r="W2" s="28" t="s">
        <v>105</v>
      </c>
    </row>
    <row r="3" spans="1:29" x14ac:dyDescent="0.3">
      <c r="A3" t="s">
        <v>5</v>
      </c>
      <c r="B3" s="35">
        <f>SUMIFS(tbl_spese_compilazione[Euro Lordo],tbl_spese_compilazione[Sottocategoria],$B$2,tbl_spese_compilazione[Mese],A3)</f>
        <v>0</v>
      </c>
      <c r="D3" t="str" cm="1">
        <f t="array" ref="D3:E3">_xlfn._xlws.FILTER(A3:B14,B3:B14&gt;0,_xlfn._xlws.FILTER(A3:B4,A3:A4="gennaio"))</f>
        <v>gennaio</v>
      </c>
      <c r="E3" s="29">
        <v>0</v>
      </c>
      <c r="G3" t="s">
        <v>5</v>
      </c>
      <c r="H3" s="35">
        <f>SUMIFS(tbl_spese_compilazione[Euro Lordo],tbl_spese_compilazione[Sottocategoria],$H$2,tbl_spese_compilazione[Mese],G3)</f>
        <v>0</v>
      </c>
      <c r="J3" t="str" cm="1">
        <f t="array" ref="J3:K3">_xlfn._xlws.FILTER(G3:H14,H3:H14&gt;0,_xlfn._xlws.FILTER(G3:H4,G3:G4="gennaio"))</f>
        <v>gennaio</v>
      </c>
      <c r="K3" s="29">
        <v>0</v>
      </c>
      <c r="M3" t="s">
        <v>5</v>
      </c>
      <c r="N3" s="35">
        <f>SUMIFS(tbl_spese_compilazione[Euro Lordo],tbl_spese_compilazione[Sottocategoria],$N$2,tbl_spese_compilazione[Mese],M3)</f>
        <v>0</v>
      </c>
      <c r="P3" t="str" cm="1">
        <f t="array" ref="P3:Q3">_xlfn._xlws.FILTER(M3:N14,N3:N14&gt;0,_xlfn._xlws.FILTER(M3:N4,M3:M4="gennaio",))</f>
        <v>gennaio</v>
      </c>
      <c r="Q3" s="29">
        <v>0</v>
      </c>
      <c r="T3" t="s">
        <v>5</v>
      </c>
      <c r="U3" s="29">
        <f>SUMIFS(tbl_spese_compilazione[Euro Lordo],tbl_spese_compilazione[Sottocategoria],$B$2,tbl_spese_compilazione[Mese],A3)</f>
        <v>0</v>
      </c>
      <c r="V3" s="29">
        <f>SUMIFS(tbl_spese_compilazione[Euro Lordo],tbl_spese_compilazione[Sottocategoria],$H$2,tbl_spese_compilazione[Mese],G3)</f>
        <v>0</v>
      </c>
      <c r="W3" s="29">
        <f>SUMIFS(tbl_spese_compilazione[Euro Lordo],tbl_spese_compilazione[Sottocategoria],$N$2,tbl_spese_compilazione[Mese],M3)</f>
        <v>0</v>
      </c>
      <c r="X3">
        <f>IF(OR(U3&gt;0,V3&gt;0,W3&gt;0),1,0)</f>
        <v>0</v>
      </c>
      <c r="Z3" t="str" cm="1">
        <f t="array" ref="Z3:AC3">_xlfn._xlws.FILTER(T3:W14,X3:X14&gt;0,_xlfn._xlws.FILTER(T3:W4,T3:T4="gennaio",))</f>
        <v>gennaio</v>
      </c>
      <c r="AA3" s="29">
        <v>0</v>
      </c>
      <c r="AB3" s="29">
        <v>0</v>
      </c>
      <c r="AC3" s="29">
        <v>0</v>
      </c>
    </row>
    <row r="4" spans="1:29" x14ac:dyDescent="0.3">
      <c r="A4" t="s">
        <v>6</v>
      </c>
      <c r="B4" s="35">
        <f>SUMIFS(tbl_spese_compilazione[Euro Lordo],tbl_spese_compilazione[Sottocategoria],$B$2,tbl_spese_compilazione[Mese],A4)</f>
        <v>0</v>
      </c>
      <c r="E4" s="29"/>
      <c r="G4" t="s">
        <v>6</v>
      </c>
      <c r="H4" s="35">
        <f>SUMIFS(tbl_spese_compilazione[Euro Lordo],tbl_spese_compilazione[Sottocategoria],$H$2,tbl_spese_compilazione[Mese],G4)</f>
        <v>0</v>
      </c>
      <c r="K4" s="29"/>
      <c r="M4" t="s">
        <v>6</v>
      </c>
      <c r="N4" s="35">
        <f>SUMIFS(tbl_spese_compilazione[Euro Lordo],tbl_spese_compilazione[Sottocategoria],$N$2,tbl_spese_compilazione[Mese],M4)</f>
        <v>0</v>
      </c>
      <c r="Q4" s="29"/>
      <c r="T4" t="s">
        <v>6</v>
      </c>
      <c r="U4" s="29">
        <f>SUMIFS(tbl_spese_compilazione[Euro Lordo],tbl_spese_compilazione[Sottocategoria],$B$2,tbl_spese_compilazione[Mese],A4)</f>
        <v>0</v>
      </c>
      <c r="V4" s="29">
        <f>SUMIFS(tbl_spese_compilazione[Euro Lordo],tbl_spese_compilazione[Sottocategoria],$H$2,tbl_spese_compilazione[Mese],G4)</f>
        <v>0</v>
      </c>
      <c r="W4" s="29">
        <f>SUMIFS(tbl_spese_compilazione[Euro Lordo],tbl_spese_compilazione[Sottocategoria],$N$2,tbl_spese_compilazione[Mese],M4)</f>
        <v>0</v>
      </c>
      <c r="X4">
        <f t="shared" ref="X4:X14" si="0">IF(OR(U4&gt;0,V4&gt;0,W4&gt;0),1,0)</f>
        <v>0</v>
      </c>
      <c r="AA4" s="29"/>
      <c r="AB4" s="29"/>
      <c r="AC4" s="29"/>
    </row>
    <row r="5" spans="1:29" x14ac:dyDescent="0.3">
      <c r="A5" t="s">
        <v>8</v>
      </c>
      <c r="B5" s="35">
        <f>SUMIFS(tbl_spese_compilazione[Euro Lordo],tbl_spese_compilazione[Sottocategoria],$B$2,tbl_spese_compilazione[Mese],A5)</f>
        <v>0</v>
      </c>
      <c r="E5" s="29"/>
      <c r="G5" t="s">
        <v>8</v>
      </c>
      <c r="H5" s="35">
        <f>SUMIFS(tbl_spese_compilazione[Euro Lordo],tbl_spese_compilazione[Sottocategoria],$H$2,tbl_spese_compilazione[Mese],G5)</f>
        <v>0</v>
      </c>
      <c r="K5" s="29"/>
      <c r="M5" t="s">
        <v>8</v>
      </c>
      <c r="N5" s="35">
        <f>SUMIFS(tbl_spese_compilazione[Euro Lordo],tbl_spese_compilazione[Sottocategoria],$N$2,tbl_spese_compilazione[Mese],M5)</f>
        <v>0</v>
      </c>
      <c r="Q5" s="29"/>
      <c r="T5" t="s">
        <v>8</v>
      </c>
      <c r="U5" s="29">
        <f>SUMIFS(tbl_spese_compilazione[Euro Lordo],tbl_spese_compilazione[Sottocategoria],$B$2,tbl_spese_compilazione[Mese],A5)</f>
        <v>0</v>
      </c>
      <c r="V5" s="29">
        <f>SUMIFS(tbl_spese_compilazione[Euro Lordo],tbl_spese_compilazione[Sottocategoria],$H$2,tbl_spese_compilazione[Mese],G5)</f>
        <v>0</v>
      </c>
      <c r="W5" s="29">
        <f>SUMIFS(tbl_spese_compilazione[Euro Lordo],tbl_spese_compilazione[Sottocategoria],$N$2,tbl_spese_compilazione[Mese],M5)</f>
        <v>0</v>
      </c>
      <c r="X5">
        <f t="shared" si="0"/>
        <v>0</v>
      </c>
      <c r="AA5" s="29"/>
      <c r="AB5" s="29"/>
      <c r="AC5" s="29"/>
    </row>
    <row r="6" spans="1:29" x14ac:dyDescent="0.3">
      <c r="A6" t="s">
        <v>9</v>
      </c>
      <c r="B6" s="35">
        <f>SUMIFS(tbl_spese_compilazione[Euro Lordo],tbl_spese_compilazione[Sottocategoria],$B$2,tbl_spese_compilazione[Mese],A6)</f>
        <v>0</v>
      </c>
      <c r="C6" s="2"/>
      <c r="D6" s="2"/>
      <c r="E6" s="30"/>
      <c r="G6" t="s">
        <v>9</v>
      </c>
      <c r="H6" s="35">
        <f>SUMIFS(tbl_spese_compilazione[Euro Lordo],tbl_spese_compilazione[Sottocategoria],$H$2,tbl_spese_compilazione[Mese],G6)</f>
        <v>0</v>
      </c>
      <c r="I6" s="2"/>
      <c r="J6" s="2"/>
      <c r="K6" s="30"/>
      <c r="M6" t="s">
        <v>9</v>
      </c>
      <c r="N6" s="35">
        <f>SUMIFS(tbl_spese_compilazione[Euro Lordo],tbl_spese_compilazione[Sottocategoria],$N$2,tbl_spese_compilazione[Mese],M6)</f>
        <v>0</v>
      </c>
      <c r="O6" s="2"/>
      <c r="P6" s="2"/>
      <c r="Q6" s="30"/>
      <c r="T6" t="s">
        <v>9</v>
      </c>
      <c r="U6" s="29">
        <f>SUMIFS(tbl_spese_compilazione[Euro Lordo],tbl_spese_compilazione[Sottocategoria],$B$2,tbl_spese_compilazione[Mese],A6)</f>
        <v>0</v>
      </c>
      <c r="V6" s="29">
        <f>SUMIFS(tbl_spese_compilazione[Euro Lordo],tbl_spese_compilazione[Sottocategoria],$H$2,tbl_spese_compilazione[Mese],G6)</f>
        <v>0</v>
      </c>
      <c r="W6" s="29">
        <f>SUMIFS(tbl_spese_compilazione[Euro Lordo],tbl_spese_compilazione[Sottocategoria],$N$2,tbl_spese_compilazione[Mese],M6)</f>
        <v>0</v>
      </c>
      <c r="X6">
        <f t="shared" si="0"/>
        <v>0</v>
      </c>
      <c r="AA6" s="29"/>
      <c r="AB6" s="29"/>
      <c r="AC6" s="29"/>
    </row>
    <row r="7" spans="1:29" x14ac:dyDescent="0.3">
      <c r="A7" t="s">
        <v>10</v>
      </c>
      <c r="B7" s="35">
        <f>SUMIFS(tbl_spese_compilazione[Euro Lordo],tbl_spese_compilazione[Sottocategoria],$B$2,tbl_spese_compilazione[Mese],A7)</f>
        <v>0</v>
      </c>
      <c r="C7" s="2"/>
      <c r="D7" s="2"/>
      <c r="E7" s="30"/>
      <c r="G7" t="s">
        <v>10</v>
      </c>
      <c r="H7" s="35">
        <f>SUMIFS(tbl_spese_compilazione[Euro Lordo],tbl_spese_compilazione[Sottocategoria],$H$2,tbl_spese_compilazione[Mese],G7)</f>
        <v>0</v>
      </c>
      <c r="I7" s="2"/>
      <c r="J7" s="2"/>
      <c r="K7" s="2"/>
      <c r="M7" t="s">
        <v>10</v>
      </c>
      <c r="N7" s="35">
        <f>SUMIFS(tbl_spese_compilazione[Euro Lordo],tbl_spese_compilazione[Sottocategoria],$N$2,tbl_spese_compilazione[Mese],M7)</f>
        <v>0</v>
      </c>
      <c r="O7" s="2"/>
      <c r="P7" s="2"/>
      <c r="Q7" s="2"/>
      <c r="T7" t="s">
        <v>10</v>
      </c>
      <c r="U7" s="29">
        <f>SUMIFS(tbl_spese_compilazione[Euro Lordo],tbl_spese_compilazione[Sottocategoria],$B$2,tbl_spese_compilazione[Mese],A7)</f>
        <v>0</v>
      </c>
      <c r="V7" s="29">
        <f>SUMIFS(tbl_spese_compilazione[Euro Lordo],tbl_spese_compilazione[Sottocategoria],$H$2,tbl_spese_compilazione[Mese],G7)</f>
        <v>0</v>
      </c>
      <c r="W7" s="29">
        <f>SUMIFS(tbl_spese_compilazione[Euro Lordo],tbl_spese_compilazione[Sottocategoria],$N$2,tbl_spese_compilazione[Mese],M7)</f>
        <v>0</v>
      </c>
      <c r="X7">
        <f t="shared" si="0"/>
        <v>0</v>
      </c>
      <c r="AA7" s="29"/>
      <c r="AB7" s="29"/>
      <c r="AC7" s="29"/>
    </row>
    <row r="8" spans="1:29" x14ac:dyDescent="0.3">
      <c r="A8" t="s">
        <v>11</v>
      </c>
      <c r="B8" s="35">
        <f>SUMIFS(tbl_spese_compilazione[Euro Lordo],tbl_spese_compilazione[Sottocategoria],$B$2,tbl_spese_compilazione[Mese],A8)</f>
        <v>0</v>
      </c>
      <c r="C8" s="2"/>
      <c r="D8" s="2"/>
      <c r="E8" s="30"/>
      <c r="G8" t="s">
        <v>11</v>
      </c>
      <c r="H8" s="35">
        <f>SUMIFS(tbl_spese_compilazione[Euro Lordo],tbl_spese_compilazione[Sottocategoria],$H$2,tbl_spese_compilazione[Mese],G8)</f>
        <v>0</v>
      </c>
      <c r="I8" s="2"/>
      <c r="J8" s="2"/>
      <c r="K8" s="2"/>
      <c r="M8" t="s">
        <v>11</v>
      </c>
      <c r="N8" s="35">
        <f>SUMIFS(tbl_spese_compilazione[Euro Lordo],tbl_spese_compilazione[Sottocategoria],$N$2,tbl_spese_compilazione[Mese],M8)</f>
        <v>0</v>
      </c>
      <c r="O8" s="2"/>
      <c r="P8" s="2"/>
      <c r="Q8" s="2"/>
      <c r="T8" t="s">
        <v>11</v>
      </c>
      <c r="U8" s="29">
        <f>SUMIFS(tbl_spese_compilazione[Euro Lordo],tbl_spese_compilazione[Sottocategoria],$B$2,tbl_spese_compilazione[Mese],A8)</f>
        <v>0</v>
      </c>
      <c r="V8" s="29">
        <f>SUMIFS(tbl_spese_compilazione[Euro Lordo],tbl_spese_compilazione[Sottocategoria],$H$2,tbl_spese_compilazione[Mese],G8)</f>
        <v>0</v>
      </c>
      <c r="W8" s="29">
        <f>SUMIFS(tbl_spese_compilazione[Euro Lordo],tbl_spese_compilazione[Sottocategoria],$N$2,tbl_spese_compilazione[Mese],M8)</f>
        <v>0</v>
      </c>
      <c r="X8">
        <f t="shared" si="0"/>
        <v>0</v>
      </c>
      <c r="AA8" s="29"/>
      <c r="AB8" s="29"/>
      <c r="AC8" s="29"/>
    </row>
    <row r="9" spans="1:29" x14ac:dyDescent="0.3">
      <c r="A9" t="s">
        <v>12</v>
      </c>
      <c r="B9" s="35">
        <f>SUMIFS(tbl_spese_compilazione[Euro Lordo],tbl_spese_compilazione[Sottocategoria],$B$2,tbl_spese_compilazione[Mese],A9)</f>
        <v>0</v>
      </c>
      <c r="C9" s="2"/>
      <c r="D9" s="2"/>
      <c r="E9" s="30"/>
      <c r="G9" t="s">
        <v>12</v>
      </c>
      <c r="H9" s="35">
        <f>SUMIFS(tbl_spese_compilazione[Euro Lordo],tbl_spese_compilazione[Sottocategoria],$H$2,tbl_spese_compilazione[Mese],G9)</f>
        <v>0</v>
      </c>
      <c r="I9" s="2"/>
      <c r="J9" s="2"/>
      <c r="K9" s="2"/>
      <c r="M9" t="s">
        <v>12</v>
      </c>
      <c r="N9" s="35">
        <f>SUMIFS(tbl_spese_compilazione[Euro Lordo],tbl_spese_compilazione[Sottocategoria],$N$2,tbl_spese_compilazione[Mese],M9)</f>
        <v>0</v>
      </c>
      <c r="O9" s="2"/>
      <c r="P9" s="2"/>
      <c r="Q9" s="2"/>
      <c r="T9" t="s">
        <v>12</v>
      </c>
      <c r="U9" s="29">
        <f>SUMIFS(tbl_spese_compilazione[Euro Lordo],tbl_spese_compilazione[Sottocategoria],$B$2,tbl_spese_compilazione[Mese],A9)</f>
        <v>0</v>
      </c>
      <c r="V9" s="29">
        <f>SUMIFS(tbl_spese_compilazione[Euro Lordo],tbl_spese_compilazione[Sottocategoria],$H$2,tbl_spese_compilazione[Mese],G9)</f>
        <v>0</v>
      </c>
      <c r="W9" s="29">
        <f>SUMIFS(tbl_spese_compilazione[Euro Lordo],tbl_spese_compilazione[Sottocategoria],$N$2,tbl_spese_compilazione[Mese],M9)</f>
        <v>0</v>
      </c>
      <c r="X9">
        <f t="shared" si="0"/>
        <v>0</v>
      </c>
      <c r="AA9" s="29"/>
      <c r="AB9" s="29"/>
      <c r="AC9" s="29"/>
    </row>
    <row r="10" spans="1:29" x14ac:dyDescent="0.3">
      <c r="A10" t="s">
        <v>13</v>
      </c>
      <c r="B10" s="35">
        <f>SUMIFS(tbl_spese_compilazione[Euro Lordo],tbl_spese_compilazione[Sottocategoria],$B$2,tbl_spese_compilazione[Mese],A10)</f>
        <v>0</v>
      </c>
      <c r="C10" s="2"/>
      <c r="D10" s="2"/>
      <c r="E10" s="30"/>
      <c r="G10" t="s">
        <v>13</v>
      </c>
      <c r="H10" s="35">
        <f>SUMIFS(tbl_spese_compilazione[Euro Lordo],tbl_spese_compilazione[Sottocategoria],$H$2,tbl_spese_compilazione[Mese],G10)</f>
        <v>0</v>
      </c>
      <c r="I10" s="2"/>
      <c r="J10" s="2"/>
      <c r="K10" s="2"/>
      <c r="M10" t="s">
        <v>13</v>
      </c>
      <c r="N10" s="35">
        <f>SUMIFS(tbl_spese_compilazione[Euro Lordo],tbl_spese_compilazione[Sottocategoria],$N$2,tbl_spese_compilazione[Mese],M10)</f>
        <v>0</v>
      </c>
      <c r="O10" s="2"/>
      <c r="P10" s="2"/>
      <c r="Q10" s="2"/>
      <c r="T10" t="s">
        <v>13</v>
      </c>
      <c r="U10" s="29">
        <f>SUMIFS(tbl_spese_compilazione[Euro Lordo],tbl_spese_compilazione[Sottocategoria],$B$2,tbl_spese_compilazione[Mese],A10)</f>
        <v>0</v>
      </c>
      <c r="V10" s="29">
        <f>SUMIFS(tbl_spese_compilazione[Euro Lordo],tbl_spese_compilazione[Sottocategoria],$H$2,tbl_spese_compilazione[Mese],G10)</f>
        <v>0</v>
      </c>
      <c r="W10" s="29">
        <f>SUMIFS(tbl_spese_compilazione[Euro Lordo],tbl_spese_compilazione[Sottocategoria],$N$2,tbl_spese_compilazione[Mese],M10)</f>
        <v>0</v>
      </c>
      <c r="X10">
        <f t="shared" si="0"/>
        <v>0</v>
      </c>
      <c r="AA10" s="29"/>
      <c r="AB10" s="29"/>
      <c r="AC10" s="29"/>
    </row>
    <row r="11" spans="1:29" x14ac:dyDescent="0.3">
      <c r="A11" t="s">
        <v>14</v>
      </c>
      <c r="B11" s="35">
        <f>SUMIFS(tbl_spese_compilazione[Euro Lordo],tbl_spese_compilazione[Sottocategoria],$B$2,tbl_spese_compilazione[Mese],A11)</f>
        <v>0</v>
      </c>
      <c r="C11" s="2"/>
      <c r="D11" s="2"/>
      <c r="E11" s="30"/>
      <c r="G11" t="s">
        <v>14</v>
      </c>
      <c r="H11" s="35">
        <f>SUMIFS(tbl_spese_compilazione[Euro Lordo],tbl_spese_compilazione[Sottocategoria],$H$2,tbl_spese_compilazione[Mese],G11)</f>
        <v>0</v>
      </c>
      <c r="I11" s="2"/>
      <c r="J11" s="2"/>
      <c r="K11" s="2"/>
      <c r="M11" t="s">
        <v>14</v>
      </c>
      <c r="N11" s="35">
        <f>SUMIFS(tbl_spese_compilazione[Euro Lordo],tbl_spese_compilazione[Sottocategoria],$N$2,tbl_spese_compilazione[Mese],M11)</f>
        <v>0</v>
      </c>
      <c r="O11" s="2"/>
      <c r="P11" s="2"/>
      <c r="Q11" s="2"/>
      <c r="T11" t="s">
        <v>14</v>
      </c>
      <c r="U11" s="29">
        <f>SUMIFS(tbl_spese_compilazione[Euro Lordo],tbl_spese_compilazione[Sottocategoria],$B$2,tbl_spese_compilazione[Mese],A11)</f>
        <v>0</v>
      </c>
      <c r="V11" s="29">
        <f>SUMIFS(tbl_spese_compilazione[Euro Lordo],tbl_spese_compilazione[Sottocategoria],$H$2,tbl_spese_compilazione[Mese],G11)</f>
        <v>0</v>
      </c>
      <c r="W11" s="29">
        <f>SUMIFS(tbl_spese_compilazione[Euro Lordo],tbl_spese_compilazione[Sottocategoria],$N$2,tbl_spese_compilazione[Mese],M11)</f>
        <v>0</v>
      </c>
      <c r="X11">
        <f t="shared" si="0"/>
        <v>0</v>
      </c>
      <c r="AA11" s="29"/>
      <c r="AB11" s="29"/>
      <c r="AC11" s="29"/>
    </row>
    <row r="12" spans="1:29" x14ac:dyDescent="0.3">
      <c r="A12" t="s">
        <v>15</v>
      </c>
      <c r="B12" s="35">
        <f>SUMIFS(tbl_spese_compilazione[Euro Lordo],tbl_spese_compilazione[Sottocategoria],$B$2,tbl_spese_compilazione[Mese],A12)</f>
        <v>0</v>
      </c>
      <c r="C12" s="2"/>
      <c r="D12" s="2"/>
      <c r="E12" s="30"/>
      <c r="G12" t="s">
        <v>15</v>
      </c>
      <c r="H12" s="35">
        <f>SUMIFS(tbl_spese_compilazione[Euro Lordo],tbl_spese_compilazione[Sottocategoria],$H$2,tbl_spese_compilazione[Mese],G12)</f>
        <v>0</v>
      </c>
      <c r="I12" s="2"/>
      <c r="J12" s="2"/>
      <c r="K12" s="2"/>
      <c r="M12" t="s">
        <v>15</v>
      </c>
      <c r="N12" s="35">
        <f>SUMIFS(tbl_spese_compilazione[Euro Lordo],tbl_spese_compilazione[Sottocategoria],$N$2,tbl_spese_compilazione[Mese],M12)</f>
        <v>0</v>
      </c>
      <c r="O12" s="2"/>
      <c r="P12" s="2"/>
      <c r="Q12" s="2"/>
      <c r="T12" t="s">
        <v>15</v>
      </c>
      <c r="U12" s="29">
        <f>SUMIFS(tbl_spese_compilazione[Euro Lordo],tbl_spese_compilazione[Sottocategoria],$B$2,tbl_spese_compilazione[Mese],A12)</f>
        <v>0</v>
      </c>
      <c r="V12" s="29">
        <f>SUMIFS(tbl_spese_compilazione[Euro Lordo],tbl_spese_compilazione[Sottocategoria],$H$2,tbl_spese_compilazione[Mese],G12)</f>
        <v>0</v>
      </c>
      <c r="W12" s="29">
        <f>SUMIFS(tbl_spese_compilazione[Euro Lordo],tbl_spese_compilazione[Sottocategoria],$N$2,tbl_spese_compilazione[Mese],M12)</f>
        <v>0</v>
      </c>
      <c r="X12">
        <f t="shared" si="0"/>
        <v>0</v>
      </c>
      <c r="AA12" s="29"/>
      <c r="AB12" s="29"/>
      <c r="AC12" s="29"/>
    </row>
    <row r="13" spans="1:29" x14ac:dyDescent="0.3">
      <c r="A13" t="s">
        <v>16</v>
      </c>
      <c r="B13" s="35">
        <f>SUMIFS(tbl_spese_compilazione[Euro Lordo],tbl_spese_compilazione[Sottocategoria],$B$2,tbl_spese_compilazione[Mese],A13)</f>
        <v>0</v>
      </c>
      <c r="C13" s="2"/>
      <c r="D13" s="2"/>
      <c r="E13" s="30"/>
      <c r="G13" t="s">
        <v>16</v>
      </c>
      <c r="H13" s="35">
        <f>SUMIFS(tbl_spese_compilazione[Euro Lordo],tbl_spese_compilazione[Sottocategoria],$H$2,tbl_spese_compilazione[Mese],G13)</f>
        <v>0</v>
      </c>
      <c r="I13" s="2"/>
      <c r="J13" s="2"/>
      <c r="K13" s="2"/>
      <c r="M13" t="s">
        <v>16</v>
      </c>
      <c r="N13" s="35">
        <f>SUMIFS(tbl_spese_compilazione[Euro Lordo],tbl_spese_compilazione[Sottocategoria],$N$2,tbl_spese_compilazione[Mese],M13)</f>
        <v>0</v>
      </c>
      <c r="O13" s="2"/>
      <c r="P13" s="2"/>
      <c r="Q13" s="2"/>
      <c r="T13" t="s">
        <v>16</v>
      </c>
      <c r="U13" s="29">
        <f>SUMIFS(tbl_spese_compilazione[Euro Lordo],tbl_spese_compilazione[Sottocategoria],$B$2,tbl_spese_compilazione[Mese],A13)</f>
        <v>0</v>
      </c>
      <c r="V13" s="29">
        <f>SUMIFS(tbl_spese_compilazione[Euro Lordo],tbl_spese_compilazione[Sottocategoria],$H$2,tbl_spese_compilazione[Mese],G13)</f>
        <v>0</v>
      </c>
      <c r="W13" s="29">
        <f>SUMIFS(tbl_spese_compilazione[Euro Lordo],tbl_spese_compilazione[Sottocategoria],$N$2,tbl_spese_compilazione[Mese],M13)</f>
        <v>0</v>
      </c>
      <c r="X13">
        <f t="shared" si="0"/>
        <v>0</v>
      </c>
      <c r="AA13" s="29"/>
      <c r="AB13" s="29"/>
      <c r="AC13" s="29"/>
    </row>
    <row r="14" spans="1:29" x14ac:dyDescent="0.3">
      <c r="A14" t="s">
        <v>7</v>
      </c>
      <c r="B14" s="35">
        <f>SUMIFS(tbl_spese_compilazione[Euro Lordo],tbl_spese_compilazione[Sottocategoria],$B$2,tbl_spese_compilazione[Mese],A14)</f>
        <v>0</v>
      </c>
      <c r="C14" s="2"/>
      <c r="D14" s="2"/>
      <c r="E14" s="30"/>
      <c r="G14" t="s">
        <v>7</v>
      </c>
      <c r="H14" s="35">
        <f>SUMIFS(tbl_spese_compilazione[Euro Lordo],tbl_spese_compilazione[Sottocategoria],$H$2,tbl_spese_compilazione[Mese],G14)</f>
        <v>0</v>
      </c>
      <c r="I14" s="2"/>
      <c r="J14" s="2"/>
      <c r="K14" s="2"/>
      <c r="M14" t="s">
        <v>7</v>
      </c>
      <c r="N14" s="35">
        <f>SUMIFS(tbl_spese_compilazione[Euro Lordo],tbl_spese_compilazione[Sottocategoria],$N$2,tbl_spese_compilazione[Mese],M14)</f>
        <v>0</v>
      </c>
      <c r="O14" s="2"/>
      <c r="P14" s="2"/>
      <c r="Q14" s="2"/>
      <c r="T14" t="s">
        <v>7</v>
      </c>
      <c r="U14" s="29">
        <f>SUMIFS(tbl_spese_compilazione[Euro Lordo],tbl_spese_compilazione[Sottocategoria],$B$2,tbl_spese_compilazione[Mese],A14)</f>
        <v>0</v>
      </c>
      <c r="V14" s="29">
        <f>SUMIFS(tbl_spese_compilazione[Euro Lordo],tbl_spese_compilazione[Sottocategoria],$H$2,tbl_spese_compilazione[Mese],G14)</f>
        <v>0</v>
      </c>
      <c r="W14" s="29">
        <f>SUMIFS(tbl_spese_compilazione[Euro Lordo],tbl_spese_compilazione[Sottocategoria],$N$2,tbl_spese_compilazione[Mese],M14)</f>
        <v>0</v>
      </c>
      <c r="X14">
        <f t="shared" si="0"/>
        <v>0</v>
      </c>
      <c r="AA14" s="29"/>
      <c r="AB14" s="29"/>
      <c r="AC14" s="29"/>
    </row>
    <row r="15" spans="1:29" x14ac:dyDescent="0.3">
      <c r="C15" s="2"/>
      <c r="D15" s="2"/>
      <c r="E15" s="2"/>
      <c r="F15" s="2"/>
      <c r="G15" s="2"/>
      <c r="H15" s="2"/>
    </row>
    <row r="16" spans="1:29" x14ac:dyDescent="0.3">
      <c r="C16" s="2"/>
      <c r="D16" s="2"/>
      <c r="E16" s="2"/>
      <c r="F16" s="2"/>
      <c r="G16" s="2"/>
      <c r="H16" s="2"/>
    </row>
    <row r="17" spans="1:24" x14ac:dyDescent="0.3">
      <c r="B17" s="28" t="s">
        <v>107</v>
      </c>
      <c r="C17" s="2"/>
      <c r="D17" s="2"/>
      <c r="G17" s="34" t="s">
        <v>116</v>
      </c>
      <c r="I17" s="28" t="s">
        <v>287</v>
      </c>
      <c r="M17" s="34" t="s">
        <v>138</v>
      </c>
      <c r="N17" s="34" t="str">
        <f>RIEPILOGO!B1</f>
        <v>OTTOBRE</v>
      </c>
      <c r="P17" s="2"/>
      <c r="R17" s="28" t="s">
        <v>136</v>
      </c>
      <c r="S17" s="29"/>
      <c r="U17" s="28" t="s">
        <v>140</v>
      </c>
      <c r="V17" s="48" t="s">
        <v>141</v>
      </c>
      <c r="W17" t="s">
        <v>142</v>
      </c>
      <c r="X17" s="28" t="s">
        <v>120</v>
      </c>
    </row>
    <row r="18" spans="1:24" x14ac:dyDescent="0.3">
      <c r="A18" t="s">
        <v>37</v>
      </c>
      <c r="B18" s="32" t="s">
        <v>39</v>
      </c>
      <c r="C18" s="32" t="s">
        <v>49</v>
      </c>
      <c r="D18" s="3" t="s">
        <v>111</v>
      </c>
      <c r="G18" s="2" t="s">
        <v>111</v>
      </c>
      <c r="I18" t="s">
        <v>158</v>
      </c>
      <c r="J18" t="s">
        <v>187</v>
      </c>
      <c r="R18" t="s">
        <v>113</v>
      </c>
      <c r="S18" s="40">
        <f>IFERROR(M24/$P$21,0)</f>
        <v>0.57181397584570093</v>
      </c>
      <c r="U18" s="29">
        <f>P21*IMPOSTAZIONI!E19</f>
        <v>832.15</v>
      </c>
      <c r="V18" s="40">
        <f>IFERROR(M24/U18,0)</f>
        <v>1.1436279516914019</v>
      </c>
      <c r="W18" s="54">
        <f>IF(1-V18&lt;0,0,1-V18)</f>
        <v>0</v>
      </c>
      <c r="X18" s="49" t="str">
        <f>IF(U18-M24&lt;=0,"--",U18-M24)</f>
        <v>--</v>
      </c>
    </row>
    <row r="19" spans="1:24" x14ac:dyDescent="0.3">
      <c r="A19" t="s">
        <v>5</v>
      </c>
      <c r="B19" s="35">
        <f>SUMIFS(tbl_entrate_compilazione[Euro],tbl_entrate_compilazione[Mese],A19,tbl_entrate_compilazione[Categoria],$B$18)</f>
        <v>0</v>
      </c>
      <c r="C19" s="36">
        <f>SUMIF(tbl_entrate_compilazione[Mese],A19,tbl_entrate_compilazione[Euro])-B19+B70</f>
        <v>0</v>
      </c>
      <c r="D19" s="36">
        <f>B19+C19</f>
        <v>0</v>
      </c>
      <c r="G19" s="36">
        <f>SUMIF(tbl_risparmi_compilazione[Mese],A19,tbl_risparmi_compilazione[Euro])</f>
        <v>0</v>
      </c>
      <c r="I19" s="29">
        <f>D19-E35-G19-I35</f>
        <v>0</v>
      </c>
      <c r="J19">
        <f>IF(G19&lt;0,I19,I19+G19)</f>
        <v>0</v>
      </c>
      <c r="M19" s="28" t="s">
        <v>114</v>
      </c>
      <c r="R19" t="s">
        <v>74</v>
      </c>
      <c r="S19" s="40">
        <f>IFERROR(N24/$P$21,0)</f>
        <v>8.5561497326203217E-2</v>
      </c>
      <c r="U19" s="29">
        <f>P21*IMPOSTAZIONI!E21</f>
        <v>499.28999999999996</v>
      </c>
      <c r="V19" s="40">
        <f>IFERROR(N24/U19,0)</f>
        <v>0.28520499108734404</v>
      </c>
      <c r="W19" s="54">
        <f t="shared" ref="W19:W21" si="1">IF(1-V19&lt;0,0,1-V19)</f>
        <v>0.71479500891265602</v>
      </c>
      <c r="X19" s="49">
        <f>IF(U19-N24&lt;=0,"--",U19-N24)</f>
        <v>356.89</v>
      </c>
    </row>
    <row r="20" spans="1:24" x14ac:dyDescent="0.3">
      <c r="A20" t="s">
        <v>6</v>
      </c>
      <c r="B20" s="35">
        <f>SUMIFS(tbl_entrate_compilazione[Euro],tbl_entrate_compilazione[Mese],A20,tbl_entrate_compilazione[Categoria],$B$18)</f>
        <v>0</v>
      </c>
      <c r="C20" s="36">
        <f>SUMIF(tbl_entrate_compilazione[Mese],A20,tbl_entrate_compilazione[Euro])-B20+B71</f>
        <v>0</v>
      </c>
      <c r="D20" s="36">
        <f t="shared" ref="D20:D30" si="2">B20+C20</f>
        <v>0</v>
      </c>
      <c r="G20" s="36">
        <f>SUMIF(tbl_risparmi_compilazione[Mese],A20,tbl_risparmi_compilazione[Euro])</f>
        <v>0</v>
      </c>
      <c r="I20" s="29">
        <f t="shared" ref="I20:I31" si="3">D20-E36-G20-I36</f>
        <v>0</v>
      </c>
      <c r="J20">
        <f t="shared" ref="J20:J31" si="4">IF(G20&lt;0,I20,I20+G20)</f>
        <v>0</v>
      </c>
      <c r="M20" s="41" t="s">
        <v>39</v>
      </c>
      <c r="N20" s="41" t="s">
        <v>49</v>
      </c>
      <c r="P20" s="41" t="s">
        <v>111</v>
      </c>
      <c r="R20" s="199" t="s">
        <v>292</v>
      </c>
      <c r="S20" s="195">
        <f>IFERROR(O24/$P$21,0)</f>
        <v>2.6077029381722044E-2</v>
      </c>
      <c r="U20" s="29">
        <f>P21*IMPOSTAZIONI!E23</f>
        <v>316.21699999999998</v>
      </c>
      <c r="V20" s="40">
        <f>IFERROR(M27/U20,0)</f>
        <v>0.31623853240021887</v>
      </c>
      <c r="W20" s="54">
        <f t="shared" si="1"/>
        <v>0.68376146759978118</v>
      </c>
      <c r="X20" s="49">
        <f>IF(U20&gt;M27,U20-M27,"--")</f>
        <v>216.21699999999998</v>
      </c>
    </row>
    <row r="21" spans="1:24" x14ac:dyDescent="0.3">
      <c r="A21" t="s">
        <v>8</v>
      </c>
      <c r="B21" s="35">
        <f>SUMIFS(tbl_entrate_compilazione[Euro],tbl_entrate_compilazione[Mese],A21,tbl_entrate_compilazione[Categoria],$B$18)</f>
        <v>0</v>
      </c>
      <c r="C21" s="36">
        <f>SUMIF(tbl_entrate_compilazione[Mese],A21,tbl_entrate_compilazione[Euro])-B21+B72</f>
        <v>0</v>
      </c>
      <c r="D21" s="36">
        <f>B21+C21</f>
        <v>0</v>
      </c>
      <c r="G21" s="36">
        <f>SUMIF(tbl_risparmi_compilazione[Mese],A21,tbl_risparmi_compilazione[Euro])</f>
        <v>0</v>
      </c>
      <c r="I21" s="29">
        <f t="shared" si="3"/>
        <v>0</v>
      </c>
      <c r="J21">
        <f t="shared" si="4"/>
        <v>0</v>
      </c>
      <c r="M21" s="42">
        <f>_xlfn.XLOOKUP(N17,A19:A30,B19:B30)</f>
        <v>1664.3</v>
      </c>
      <c r="N21" s="42">
        <f>_xlfn.XLOOKUP(N17,A19:A30,C19:C30)</f>
        <v>0</v>
      </c>
      <c r="P21" s="42">
        <f>M21+N21</f>
        <v>1664.3</v>
      </c>
      <c r="R21" t="s">
        <v>117</v>
      </c>
      <c r="S21" s="40">
        <f>IFERROR(M27/$P$21,0)</f>
        <v>6.008532115604158E-2</v>
      </c>
      <c r="U21" s="29">
        <f>P21*IMPOSTAZIONI!E25</f>
        <v>16.643000000000001</v>
      </c>
      <c r="V21" s="40">
        <f>IFERROR(P30/U21,0)</f>
        <v>0</v>
      </c>
      <c r="W21" s="54">
        <f t="shared" si="1"/>
        <v>1</v>
      </c>
      <c r="X21" s="49">
        <f>IF(U21&gt;P30,U21-P30,"--")</f>
        <v>16.643000000000001</v>
      </c>
    </row>
    <row r="22" spans="1:24" x14ac:dyDescent="0.3">
      <c r="A22" t="s">
        <v>9</v>
      </c>
      <c r="B22" s="35">
        <f>SUMIFS(tbl_entrate_compilazione[Euro],tbl_entrate_compilazione[Mese],A22,tbl_entrate_compilazione[Categoria],$B$18)</f>
        <v>0</v>
      </c>
      <c r="C22" s="36">
        <f>SUMIF(tbl_entrate_compilazione[Mese],A22,tbl_entrate_compilazione[Euro])-B22+B73</f>
        <v>0</v>
      </c>
      <c r="D22" s="36">
        <f>B22+C22</f>
        <v>0</v>
      </c>
      <c r="G22" s="36">
        <f>SUMIF(tbl_risparmi_compilazione[Mese],A22,tbl_risparmi_compilazione[Euro])</f>
        <v>0</v>
      </c>
      <c r="I22" s="29">
        <f t="shared" si="3"/>
        <v>0</v>
      </c>
      <c r="J22">
        <f t="shared" si="4"/>
        <v>0</v>
      </c>
      <c r="M22" s="50" t="s">
        <v>115</v>
      </c>
      <c r="N22" s="43"/>
      <c r="P22" s="43"/>
      <c r="R22" s="41" t="s">
        <v>45</v>
      </c>
      <c r="S22" s="40">
        <f>IFERROR(P30/$P$21,0)</f>
        <v>0</v>
      </c>
      <c r="W22" s="51"/>
    </row>
    <row r="23" spans="1:24" x14ac:dyDescent="0.3">
      <c r="A23" t="s">
        <v>10</v>
      </c>
      <c r="B23" s="35">
        <f>SUMIFS(tbl_entrate_compilazione[Euro],tbl_entrate_compilazione[Mese],A23,tbl_entrate_compilazione[Categoria],$B$18)</f>
        <v>0</v>
      </c>
      <c r="C23" s="36">
        <f>SUMIF(tbl_entrate_compilazione[Mese],A23,tbl_entrate_compilazione[Euro])-B23+B74</f>
        <v>0</v>
      </c>
      <c r="D23" s="36">
        <f t="shared" si="2"/>
        <v>0</v>
      </c>
      <c r="G23" s="36">
        <f>SUMIF(tbl_risparmi_compilazione[Mese],A23,tbl_risparmi_compilazione[Euro])</f>
        <v>0</v>
      </c>
      <c r="I23" s="29">
        <f t="shared" si="3"/>
        <v>0</v>
      </c>
      <c r="J23">
        <f t="shared" si="4"/>
        <v>0</v>
      </c>
      <c r="M23" s="41" t="s">
        <v>113</v>
      </c>
      <c r="N23" s="41" t="s">
        <v>74</v>
      </c>
      <c r="O23" t="s">
        <v>246</v>
      </c>
      <c r="P23" s="41" t="s">
        <v>111</v>
      </c>
      <c r="R23" t="s">
        <v>158</v>
      </c>
      <c r="S23" s="40">
        <f>IFERROR(IF(R26/$P$21&lt;0,0,R26/$P$21),0)</f>
        <v>0.25646217629033208</v>
      </c>
    </row>
    <row r="24" spans="1:24" x14ac:dyDescent="0.3">
      <c r="A24" t="s">
        <v>11</v>
      </c>
      <c r="B24" s="35">
        <f>SUMIFS(tbl_entrate_compilazione[Euro],tbl_entrate_compilazione[Mese],A24,tbl_entrate_compilazione[Categoria],$B$18)</f>
        <v>0</v>
      </c>
      <c r="C24" s="36">
        <f>SUMIF(tbl_entrate_compilazione[Mese],A24,tbl_entrate_compilazione[Euro])-B24+B75</f>
        <v>0</v>
      </c>
      <c r="D24" s="36">
        <f t="shared" si="2"/>
        <v>0</v>
      </c>
      <c r="G24" s="36">
        <f>SUMIF(tbl_risparmi_compilazione[Mese],A24,tbl_risparmi_compilazione[Euro])</f>
        <v>0</v>
      </c>
      <c r="I24" s="29">
        <f t="shared" si="3"/>
        <v>0</v>
      </c>
      <c r="J24">
        <f t="shared" si="4"/>
        <v>0</v>
      </c>
      <c r="M24" s="42">
        <f>_xlfn.XLOOKUP(N17,A19:A30,B35:B46)</f>
        <v>951.67000000000007</v>
      </c>
      <c r="N24" s="42">
        <f>_xlfn.XLOOKUP(N17,A19:A30,C35:C46)</f>
        <v>142.4</v>
      </c>
      <c r="O24" s="29">
        <f>_xlfn.XLOOKUP(N17,A19:A30,D35:D46)</f>
        <v>43.4</v>
      </c>
      <c r="P24" s="42">
        <f>M24+N24+O24</f>
        <v>1137.4700000000003</v>
      </c>
    </row>
    <row r="25" spans="1:24" x14ac:dyDescent="0.3">
      <c r="A25" t="s">
        <v>12</v>
      </c>
      <c r="B25" s="35">
        <f>SUMIFS(tbl_entrate_compilazione[Euro],tbl_entrate_compilazione[Mese],A25,tbl_entrate_compilazione[Categoria],$B$18)</f>
        <v>0</v>
      </c>
      <c r="C25" s="36">
        <f>SUMIF(tbl_entrate_compilazione[Mese],A25,tbl_entrate_compilazione[Euro])-B25+B76</f>
        <v>0</v>
      </c>
      <c r="D25" s="36">
        <f t="shared" si="2"/>
        <v>0</v>
      </c>
      <c r="G25" s="36">
        <f>SUMIF(tbl_risparmi_compilazione[Mese],A25,tbl_risparmi_compilazione[Euro])</f>
        <v>0</v>
      </c>
      <c r="I25" s="29">
        <f t="shared" si="3"/>
        <v>0</v>
      </c>
      <c r="J25">
        <f t="shared" si="4"/>
        <v>0</v>
      </c>
      <c r="M25" s="52" t="s">
        <v>30</v>
      </c>
      <c r="R25" s="37" t="s">
        <v>161</v>
      </c>
      <c r="T25" s="54"/>
      <c r="U25" s="29"/>
    </row>
    <row r="26" spans="1:24" x14ac:dyDescent="0.3">
      <c r="A26" t="s">
        <v>13</v>
      </c>
      <c r="B26" s="35">
        <f>SUMIFS(tbl_entrate_compilazione[Euro],tbl_entrate_compilazione[Mese],A26,tbl_entrate_compilazione[Categoria],$B$18)</f>
        <v>0</v>
      </c>
      <c r="C26" s="36">
        <f>SUMIF(tbl_entrate_compilazione[Mese],A26,tbl_entrate_compilazione[Euro])-B26+B77</f>
        <v>0</v>
      </c>
      <c r="D26" s="36">
        <f t="shared" si="2"/>
        <v>0</v>
      </c>
      <c r="G26" s="36">
        <f>SUMIF(tbl_risparmi_compilazione[Mese],A26,tbl_risparmi_compilazione[Euro])</f>
        <v>0</v>
      </c>
      <c r="I26" s="29">
        <f t="shared" si="3"/>
        <v>0</v>
      </c>
      <c r="J26">
        <f t="shared" si="4"/>
        <v>0</v>
      </c>
      <c r="M26" s="43" t="s">
        <v>111</v>
      </c>
      <c r="N26" s="43"/>
      <c r="P26" s="43"/>
      <c r="R26" s="29">
        <f>P21-P24-M27-P30</f>
        <v>426.8299999999997</v>
      </c>
      <c r="U26" s="28"/>
    </row>
    <row r="27" spans="1:24" x14ac:dyDescent="0.3">
      <c r="A27" t="s">
        <v>14</v>
      </c>
      <c r="B27" s="35">
        <f>SUMIFS(tbl_entrate_compilazione[Euro],tbl_entrate_compilazione[Mese],A27,tbl_entrate_compilazione[Categoria],$B$18)</f>
        <v>681</v>
      </c>
      <c r="C27" s="36">
        <f>SUMIF(tbl_entrate_compilazione[Mese],A27,tbl_entrate_compilazione[Euro])-B27+B78</f>
        <v>107.03999999999996</v>
      </c>
      <c r="D27" s="36">
        <f t="shared" si="2"/>
        <v>788.04</v>
      </c>
      <c r="G27" s="36">
        <f>SUMIF(tbl_risparmi_compilazione[Mese],A27,tbl_risparmi_compilazione[Euro])</f>
        <v>0</v>
      </c>
      <c r="I27" s="29">
        <f t="shared" si="3"/>
        <v>-202.48000000000002</v>
      </c>
      <c r="J27">
        <f t="shared" si="4"/>
        <v>-202.48000000000002</v>
      </c>
      <c r="M27" s="53">
        <f>_xlfn.XLOOKUP(N17,A19:A30,G19:G30)</f>
        <v>100</v>
      </c>
      <c r="N27" s="43"/>
      <c r="P27" s="43"/>
      <c r="R27" s="37" t="s">
        <v>122</v>
      </c>
      <c r="U27" s="29"/>
    </row>
    <row r="28" spans="1:24" x14ac:dyDescent="0.3">
      <c r="A28" t="s">
        <v>15</v>
      </c>
      <c r="B28" s="35">
        <f>SUMIFS(tbl_entrate_compilazione[Euro],tbl_entrate_compilazione[Mese],A28,tbl_entrate_compilazione[Categoria],$B$18)</f>
        <v>1664.3</v>
      </c>
      <c r="C28" s="36">
        <f>SUMIF(tbl_entrate_compilazione[Mese],A28,tbl_entrate_compilazione[Euro])-B28+B79</f>
        <v>0</v>
      </c>
      <c r="D28" s="36">
        <f t="shared" si="2"/>
        <v>1664.3</v>
      </c>
      <c r="G28" s="36">
        <f>SUMIF(tbl_risparmi_compilazione[Mese],A28,tbl_risparmi_compilazione[Euro])</f>
        <v>100</v>
      </c>
      <c r="I28" s="29">
        <f t="shared" si="3"/>
        <v>426.8299999999997</v>
      </c>
      <c r="J28">
        <f t="shared" si="4"/>
        <v>526.8299999999997</v>
      </c>
      <c r="M28" s="34" t="s">
        <v>31</v>
      </c>
      <c r="N28" s="2"/>
      <c r="R28" s="29">
        <f>IF(M27&lt;0,R26,R26+M27)</f>
        <v>526.8299999999997</v>
      </c>
    </row>
    <row r="29" spans="1:24" x14ac:dyDescent="0.3">
      <c r="A29" t="s">
        <v>16</v>
      </c>
      <c r="B29" s="35">
        <f>SUMIFS(tbl_entrate_compilazione[Euro],tbl_entrate_compilazione[Mese],A29,tbl_entrate_compilazione[Categoria],$B$18)</f>
        <v>0</v>
      </c>
      <c r="C29" s="36">
        <f>SUMIF(tbl_entrate_compilazione[Mese],A29,tbl_entrate_compilazione[Euro])-B29+B80</f>
        <v>0</v>
      </c>
      <c r="D29" s="36">
        <f t="shared" si="2"/>
        <v>0</v>
      </c>
      <c r="G29" s="36">
        <f>SUMIF(tbl_risparmi_compilazione[Mese],A29,tbl_risparmi_compilazione[Euro])</f>
        <v>0</v>
      </c>
      <c r="I29" s="29">
        <f t="shared" si="3"/>
        <v>0</v>
      </c>
      <c r="J29">
        <f t="shared" si="4"/>
        <v>0</v>
      </c>
      <c r="M29" s="2" t="s">
        <v>87</v>
      </c>
      <c r="N29" s="2" t="s">
        <v>119</v>
      </c>
      <c r="P29" t="s">
        <v>111</v>
      </c>
    </row>
    <row r="30" spans="1:24" x14ac:dyDescent="0.3">
      <c r="A30" t="s">
        <v>7</v>
      </c>
      <c r="B30" s="35">
        <f>SUMIFS(tbl_entrate_compilazione[Euro],tbl_entrate_compilazione[Mese],A30,tbl_entrate_compilazione[Categoria],$B$18)</f>
        <v>0</v>
      </c>
      <c r="C30" s="36">
        <f>SUMIF(tbl_entrate_compilazione[Mese],A30,tbl_entrate_compilazione[Euro])-B30+B81</f>
        <v>0</v>
      </c>
      <c r="D30" s="36">
        <f t="shared" si="2"/>
        <v>0</v>
      </c>
      <c r="G30" s="36">
        <f>SUMIF(tbl_risparmi_compilazione[Mese],A30,tbl_risparmi_compilazione[Euro])</f>
        <v>0</v>
      </c>
      <c r="I30" s="29">
        <f t="shared" si="3"/>
        <v>0</v>
      </c>
      <c r="J30">
        <f t="shared" si="4"/>
        <v>0</v>
      </c>
      <c r="M30" s="30">
        <f>_xlfn.XLOOKUP(N17,A19:A30,G35:G46)</f>
        <v>0</v>
      </c>
      <c r="N30" s="30">
        <f>_xlfn.XLOOKUP(N17,A19:A30,H35:H46)</f>
        <v>0</v>
      </c>
      <c r="P30" s="29">
        <f>M30+N30</f>
        <v>0</v>
      </c>
    </row>
    <row r="31" spans="1:24" x14ac:dyDescent="0.3">
      <c r="B31" s="37">
        <f>SUM(B19:B30)</f>
        <v>2345.3000000000002</v>
      </c>
      <c r="C31" s="37">
        <f>SUM(C19:C30)</f>
        <v>107.03999999999996</v>
      </c>
      <c r="D31" s="37">
        <f>SUM(D19:D30)</f>
        <v>2452.34</v>
      </c>
      <c r="G31" s="37">
        <f>SUM(G19:G30)</f>
        <v>100</v>
      </c>
      <c r="I31" s="37">
        <f t="shared" si="3"/>
        <v>224.34999999999991</v>
      </c>
      <c r="J31" s="28">
        <f t="shared" si="4"/>
        <v>324.34999999999991</v>
      </c>
      <c r="K31" s="30"/>
      <c r="L31" s="2"/>
      <c r="M31" s="2"/>
    </row>
    <row r="32" spans="1:24" x14ac:dyDescent="0.3">
      <c r="J32" s="2"/>
      <c r="K32" s="30"/>
      <c r="L32" s="2"/>
      <c r="M32" s="2"/>
    </row>
    <row r="33" spans="2:24" x14ac:dyDescent="0.3">
      <c r="B33" s="28" t="s">
        <v>112</v>
      </c>
      <c r="G33" s="28" t="s">
        <v>118</v>
      </c>
      <c r="J33" s="2"/>
      <c r="K33" s="30"/>
      <c r="L33" s="2"/>
      <c r="M33" s="34" t="s">
        <v>137</v>
      </c>
      <c r="R33" s="28" t="s">
        <v>136</v>
      </c>
      <c r="S33" s="29"/>
      <c r="U33" s="28" t="s">
        <v>140</v>
      </c>
      <c r="V33" s="55" t="s">
        <v>141</v>
      </c>
      <c r="W33" t="s">
        <v>142</v>
      </c>
      <c r="X33" s="28" t="s">
        <v>120</v>
      </c>
    </row>
    <row r="34" spans="2:24" x14ac:dyDescent="0.3">
      <c r="B34" t="s">
        <v>113</v>
      </c>
      <c r="C34" t="s">
        <v>74</v>
      </c>
      <c r="D34" t="s">
        <v>246</v>
      </c>
      <c r="E34" t="s">
        <v>111</v>
      </c>
      <c r="G34" t="s">
        <v>87</v>
      </c>
      <c r="H34" t="s">
        <v>88</v>
      </c>
      <c r="I34" t="s">
        <v>111</v>
      </c>
      <c r="J34" s="2"/>
      <c r="K34" s="30"/>
      <c r="L34" s="2"/>
      <c r="N34" s="2"/>
      <c r="R34" t="s">
        <v>113</v>
      </c>
      <c r="S34" s="40">
        <f>IFERROR(M40/$P$37,0)</f>
        <v>0.59408972654688996</v>
      </c>
      <c r="U34" s="29">
        <f>P37*IMPOSTAZIONI!E19</f>
        <v>1226.17</v>
      </c>
      <c r="V34" s="40">
        <f>IFERROR(M40/U34,0)</f>
        <v>1.1881794530937799</v>
      </c>
      <c r="W34" s="54">
        <f>IF(1-V34&lt;0,0,1-V34)</f>
        <v>0</v>
      </c>
      <c r="X34" s="49" t="str">
        <f>IF(U34-M40&lt;=0,"-",U34-M40)</f>
        <v>-</v>
      </c>
    </row>
    <row r="35" spans="2:24" x14ac:dyDescent="0.3">
      <c r="B35" s="35">
        <f>SUMIF(tbl_spese_compilazione[Mese],A19,tbl_spese_compilazione[Euro Netto])-C35-D35</f>
        <v>0</v>
      </c>
      <c r="C35" s="35">
        <f>SUMIFS(tbl_spese_compilazione[Euro Netto],tbl_spese_compilazione[Mese],A19,tbl_spese_compilazione[Categoria],$C$34)</f>
        <v>0</v>
      </c>
      <c r="D35" s="29">
        <f>SUMIFS(tbl_spese_compilazione[Euro Netto],tbl_spese_compilazione[Mese],A19,tbl_spese_compilazione[Categoria],$D$34)</f>
        <v>0</v>
      </c>
      <c r="E35" s="29">
        <f>B35+C35+D35</f>
        <v>0</v>
      </c>
      <c r="G35" s="29">
        <f>SUMIFS(tbl_investimenti_compilazione[Euro],tbl_investimenti_compilazione[Mese],A19,tbl_investimenti_compilazione[Categoria],G34)</f>
        <v>0</v>
      </c>
      <c r="H35" s="29">
        <f>SUMIFS(tbl_investimenti_compilazione[Euro],tbl_investimenti_compilazione[Mese],A19,tbl_investimenti_compilazione[Categoria],H34)</f>
        <v>0</v>
      </c>
      <c r="I35" s="29">
        <f>G35+H35</f>
        <v>0</v>
      </c>
      <c r="J35" s="2"/>
      <c r="K35" s="30"/>
      <c r="L35" s="2"/>
      <c r="M35" s="28" t="s">
        <v>114</v>
      </c>
      <c r="R35" t="s">
        <v>74</v>
      </c>
      <c r="S35" s="40">
        <f>IFERROR(N40/$P$37,0)</f>
        <v>0.25595145860688157</v>
      </c>
      <c r="U35" s="29">
        <f>P37*IMPOSTAZIONI!E21</f>
        <v>735.702</v>
      </c>
      <c r="V35" s="40">
        <f>IFERROR(N40/U35,0)</f>
        <v>0.85317152868960522</v>
      </c>
      <c r="W35" s="54">
        <f t="shared" ref="W35:W37" si="5">IF(1-V35&lt;0,0,1-V35)</f>
        <v>0.14682847131039478</v>
      </c>
      <c r="X35" s="49">
        <f>IF(U35-N40&lt;=0,"-",U35-N40)</f>
        <v>108.02200000000005</v>
      </c>
    </row>
    <row r="36" spans="2:24" x14ac:dyDescent="0.3">
      <c r="B36" s="35">
        <f>SUMIF(tbl_spese_compilazione[Mese],A20,tbl_spese_compilazione[Euro Netto])-C36-D36</f>
        <v>0</v>
      </c>
      <c r="C36" s="35">
        <f>SUMIFS(tbl_spese_compilazione[Euro Netto],tbl_spese_compilazione[Mese],A20,tbl_spese_compilazione[Categoria],$C$34)</f>
        <v>0</v>
      </c>
      <c r="D36" s="29">
        <f>SUMIFS(tbl_spese_compilazione[Euro Netto],tbl_spese_compilazione[Mese],A20,tbl_spese_compilazione[Categoria],$D$34)</f>
        <v>0</v>
      </c>
      <c r="E36" s="29">
        <f t="shared" ref="E36:E46" si="6">B36+C36+D36</f>
        <v>0</v>
      </c>
      <c r="G36" s="29">
        <f>SUMIFS(tbl_investimenti_compilazione[Euro],tbl_investimenti_compilazione[Mese],A20,tbl_investimenti_compilazione[Categoria],G35)</f>
        <v>0</v>
      </c>
      <c r="H36" s="29">
        <f>SUMIFS(tbl_investimenti_compilazione[Euro],tbl_investimenti_compilazione[Mese],A20,tbl_investimenti_compilazione[Categoria],H35)</f>
        <v>0</v>
      </c>
      <c r="I36" s="29">
        <f t="shared" ref="I36:I46" si="7">G36+H36</f>
        <v>0</v>
      </c>
      <c r="J36" s="2"/>
      <c r="K36" s="30"/>
      <c r="L36" s="2"/>
      <c r="M36" s="41" t="s">
        <v>39</v>
      </c>
      <c r="N36" s="41" t="s">
        <v>49</v>
      </c>
      <c r="P36" s="41" t="s">
        <v>111</v>
      </c>
      <c r="R36" s="199" t="s">
        <v>292</v>
      </c>
      <c r="S36" s="195">
        <f>O40/P37</f>
        <v>1.7697382907753408E-2</v>
      </c>
      <c r="U36" s="29">
        <f>P37*IMPOSTAZIONI!E23</f>
        <v>465.94460000000004</v>
      </c>
      <c r="V36" s="40">
        <f>IFERROR(M43/U36,0)</f>
        <v>0.21461778932516867</v>
      </c>
      <c r="W36" s="54">
        <f t="shared" si="5"/>
        <v>0.78538221067483138</v>
      </c>
      <c r="X36" s="49">
        <f>IF(U36&gt;M43,U36-M43,"-")</f>
        <v>365.94460000000004</v>
      </c>
    </row>
    <row r="37" spans="2:24" x14ac:dyDescent="0.3">
      <c r="B37" s="35">
        <f>SUMIF(tbl_spese_compilazione[Mese],A21,tbl_spese_compilazione[Euro Netto])-C37-D37</f>
        <v>0</v>
      </c>
      <c r="C37" s="35">
        <f>SUMIFS(tbl_spese_compilazione[Euro Netto],tbl_spese_compilazione[Mese],A21,tbl_spese_compilazione[Categoria],$C$34)</f>
        <v>0</v>
      </c>
      <c r="D37" s="29">
        <f>SUMIFS(tbl_spese_compilazione[Euro Netto],tbl_spese_compilazione[Mese],A21,tbl_spese_compilazione[Categoria],$D$34)</f>
        <v>0</v>
      </c>
      <c r="E37" s="29">
        <f t="shared" si="6"/>
        <v>0</v>
      </c>
      <c r="G37" s="29">
        <f>SUMIFS(tbl_investimenti_compilazione[Euro],tbl_investimenti_compilazione[Mese],A21,tbl_investimenti_compilazione[Categoria],G36)</f>
        <v>0</v>
      </c>
      <c r="H37" s="29">
        <f>SUMIFS(tbl_investimenti_compilazione[Euro],tbl_investimenti_compilazione[Mese],A21,tbl_investimenti_compilazione[Categoria],H36)</f>
        <v>0</v>
      </c>
      <c r="I37" s="29">
        <f t="shared" si="7"/>
        <v>0</v>
      </c>
      <c r="M37" s="42">
        <f>B31</f>
        <v>2345.3000000000002</v>
      </c>
      <c r="N37" s="42">
        <f>C31</f>
        <v>107.03999999999996</v>
      </c>
      <c r="P37" s="42">
        <f>M37+N37</f>
        <v>2452.34</v>
      </c>
      <c r="R37" t="s">
        <v>117</v>
      </c>
      <c r="S37" s="40">
        <f>IFERROR(M43/$P$37,0)</f>
        <v>4.0777379971782053E-2</v>
      </c>
      <c r="U37" s="29">
        <f>P37*IMPOSTAZIONI!E25</f>
        <v>24.523400000000002</v>
      </c>
      <c r="V37" s="40">
        <f>IFERROR(P46/U37,0)</f>
        <v>0</v>
      </c>
      <c r="W37" s="54">
        <f t="shared" si="5"/>
        <v>1</v>
      </c>
      <c r="X37" s="49">
        <f>IF(U37&gt;P46,U37-P46,"-")</f>
        <v>24.523400000000002</v>
      </c>
    </row>
    <row r="38" spans="2:24" x14ac:dyDescent="0.3">
      <c r="B38" s="35">
        <f>SUMIF(tbl_spese_compilazione[Mese],A22,tbl_spese_compilazione[Euro Netto])-C38-D38</f>
        <v>0</v>
      </c>
      <c r="C38" s="35">
        <f>SUMIFS(tbl_spese_compilazione[Euro Netto],tbl_spese_compilazione[Mese],A22,tbl_spese_compilazione[Categoria],$C$34)</f>
        <v>0</v>
      </c>
      <c r="D38" s="29">
        <f>SUMIFS(tbl_spese_compilazione[Euro Netto],tbl_spese_compilazione[Mese],A22,tbl_spese_compilazione[Categoria],$D$34)</f>
        <v>0</v>
      </c>
      <c r="E38" s="29">
        <f t="shared" si="6"/>
        <v>0</v>
      </c>
      <c r="G38" s="29">
        <f>SUMIFS(tbl_investimenti_compilazione[Euro],tbl_investimenti_compilazione[Mese],A22,tbl_investimenti_compilazione[Categoria],G37)</f>
        <v>0</v>
      </c>
      <c r="H38" s="29">
        <f>SUMIFS(tbl_investimenti_compilazione[Euro],tbl_investimenti_compilazione[Mese],A22,tbl_investimenti_compilazione[Categoria],H37)</f>
        <v>0</v>
      </c>
      <c r="I38" s="29">
        <f t="shared" si="7"/>
        <v>0</v>
      </c>
      <c r="M38" s="50" t="s">
        <v>115</v>
      </c>
      <c r="N38" s="43"/>
      <c r="P38" s="43"/>
      <c r="R38" s="41" t="s">
        <v>45</v>
      </c>
      <c r="S38" s="40">
        <f>IFERROR(P46/$P$37,0)</f>
        <v>0</v>
      </c>
      <c r="W38" s="51"/>
    </row>
    <row r="39" spans="2:24" x14ac:dyDescent="0.3">
      <c r="B39" s="35">
        <f>SUMIF(tbl_spese_compilazione[Mese],A23,tbl_spese_compilazione[Euro Netto])-C39-D39</f>
        <v>0</v>
      </c>
      <c r="C39" s="35">
        <f>SUMIFS(tbl_spese_compilazione[Euro Netto],tbl_spese_compilazione[Mese],A23,tbl_spese_compilazione[Categoria],$C$34)</f>
        <v>0</v>
      </c>
      <c r="D39" s="29">
        <f>SUMIFS(tbl_spese_compilazione[Euro Netto],tbl_spese_compilazione[Mese],A23,tbl_spese_compilazione[Categoria],$D$34)</f>
        <v>0</v>
      </c>
      <c r="E39" s="29">
        <f t="shared" si="6"/>
        <v>0</v>
      </c>
      <c r="G39" s="29">
        <f>SUMIFS(tbl_investimenti_compilazione[Euro],tbl_investimenti_compilazione[Mese],A23,tbl_investimenti_compilazione[Categoria],G38)</f>
        <v>0</v>
      </c>
      <c r="H39" s="29">
        <f>SUMIFS(tbl_investimenti_compilazione[Euro],tbl_investimenti_compilazione[Mese],A23,tbl_investimenti_compilazione[Categoria],H38)</f>
        <v>0</v>
      </c>
      <c r="I39" s="29">
        <f t="shared" si="7"/>
        <v>0</v>
      </c>
      <c r="M39" s="41" t="s">
        <v>113</v>
      </c>
      <c r="N39" s="41" t="s">
        <v>74</v>
      </c>
      <c r="O39" t="s">
        <v>246</v>
      </c>
      <c r="P39" s="41" t="s">
        <v>111</v>
      </c>
      <c r="R39" t="s">
        <v>158</v>
      </c>
      <c r="S39" s="40">
        <f>IFERROR(R42/$P$37,0)</f>
        <v>9.1484051966693E-2</v>
      </c>
    </row>
    <row r="40" spans="2:24" x14ac:dyDescent="0.3">
      <c r="B40" s="35">
        <f>SUMIF(tbl_spese_compilazione[Mese],A24,tbl_spese_compilazione[Euro Netto])-C40-D40</f>
        <v>0</v>
      </c>
      <c r="C40" s="35">
        <f>SUMIFS(tbl_spese_compilazione[Euro Netto],tbl_spese_compilazione[Mese],A24,tbl_spese_compilazione[Categoria],$C$34)</f>
        <v>0</v>
      </c>
      <c r="D40" s="29">
        <f>SUMIFS(tbl_spese_compilazione[Euro Netto],tbl_spese_compilazione[Mese],A24,tbl_spese_compilazione[Categoria],$D$34)</f>
        <v>0</v>
      </c>
      <c r="E40" s="29">
        <f t="shared" si="6"/>
        <v>0</v>
      </c>
      <c r="G40" s="29">
        <f>SUMIFS(tbl_investimenti_compilazione[Euro],tbl_investimenti_compilazione[Mese],A24,tbl_investimenti_compilazione[Categoria],G39)</f>
        <v>0</v>
      </c>
      <c r="H40" s="29">
        <f>SUMIFS(tbl_investimenti_compilazione[Euro],tbl_investimenti_compilazione[Mese],A24,tbl_investimenti_compilazione[Categoria],H39)</f>
        <v>0</v>
      </c>
      <c r="I40" s="29">
        <f t="shared" si="7"/>
        <v>0</v>
      </c>
      <c r="M40" s="42">
        <f>B47</f>
        <v>1456.91</v>
      </c>
      <c r="N40" s="42">
        <f>C47</f>
        <v>627.67999999999995</v>
      </c>
      <c r="O40" s="42">
        <f>D47</f>
        <v>43.4</v>
      </c>
      <c r="P40" s="42">
        <f>M40+N40+O40</f>
        <v>2127.9900000000002</v>
      </c>
      <c r="T40" s="54"/>
    </row>
    <row r="41" spans="2:24" x14ac:dyDescent="0.3">
      <c r="B41" s="35">
        <f>SUMIF(tbl_spese_compilazione[Mese],A25,tbl_spese_compilazione[Euro Netto])-C41-D41</f>
        <v>0</v>
      </c>
      <c r="C41" s="35">
        <f>SUMIFS(tbl_spese_compilazione[Euro Netto],tbl_spese_compilazione[Mese],A25,tbl_spese_compilazione[Categoria],$C$34)</f>
        <v>0</v>
      </c>
      <c r="D41" s="29">
        <f>SUMIFS(tbl_spese_compilazione[Euro Netto],tbl_spese_compilazione[Mese],A25,tbl_spese_compilazione[Categoria],$D$34)</f>
        <v>0</v>
      </c>
      <c r="E41" s="29">
        <f t="shared" si="6"/>
        <v>0</v>
      </c>
      <c r="G41" s="29">
        <f>SUMIFS(tbl_investimenti_compilazione[Euro],tbl_investimenti_compilazione[Mese],A25,tbl_investimenti_compilazione[Categoria],G40)</f>
        <v>0</v>
      </c>
      <c r="H41" s="29">
        <f>SUMIFS(tbl_investimenti_compilazione[Euro],tbl_investimenti_compilazione[Mese],A25,tbl_investimenti_compilazione[Categoria],H40)</f>
        <v>0</v>
      </c>
      <c r="I41" s="29">
        <f t="shared" si="7"/>
        <v>0</v>
      </c>
      <c r="M41" s="52" t="s">
        <v>30</v>
      </c>
      <c r="R41" s="28" t="s">
        <v>159</v>
      </c>
      <c r="T41" s="54"/>
    </row>
    <row r="42" spans="2:24" x14ac:dyDescent="0.3">
      <c r="B42" s="35">
        <f>SUMIF(tbl_spese_compilazione[Mese],A26,tbl_spese_compilazione[Euro Netto])-C42-D42</f>
        <v>0</v>
      </c>
      <c r="C42" s="35">
        <f>SUMIFS(tbl_spese_compilazione[Euro Netto],tbl_spese_compilazione[Mese],A26,tbl_spese_compilazione[Categoria],$C$34)</f>
        <v>0</v>
      </c>
      <c r="D42" s="29">
        <f>SUMIFS(tbl_spese_compilazione[Euro Netto],tbl_spese_compilazione[Mese],A26,tbl_spese_compilazione[Categoria],$D$34)</f>
        <v>0</v>
      </c>
      <c r="E42" s="29">
        <f t="shared" si="6"/>
        <v>0</v>
      </c>
      <c r="G42" s="29">
        <f>SUMIFS(tbl_investimenti_compilazione[Euro],tbl_investimenti_compilazione[Mese],A26,tbl_investimenti_compilazione[Categoria],G41)</f>
        <v>0</v>
      </c>
      <c r="H42" s="29">
        <f>SUMIFS(tbl_investimenti_compilazione[Euro],tbl_investimenti_compilazione[Mese],A26,tbl_investimenti_compilazione[Categoria],H41)</f>
        <v>0</v>
      </c>
      <c r="I42" s="29">
        <f t="shared" si="7"/>
        <v>0</v>
      </c>
      <c r="M42" s="43" t="s">
        <v>111</v>
      </c>
      <c r="N42" s="43"/>
      <c r="P42" s="43"/>
      <c r="R42" s="29">
        <f>D31-E47-G31-I47</f>
        <v>224.34999999999991</v>
      </c>
    </row>
    <row r="43" spans="2:24" x14ac:dyDescent="0.3">
      <c r="B43" s="35">
        <f>SUMIF(tbl_spese_compilazione[Mese],A27,tbl_spese_compilazione[Euro Netto])-C43-D43</f>
        <v>505.24</v>
      </c>
      <c r="C43" s="35">
        <f>SUMIFS(tbl_spese_compilazione[Euro Netto],tbl_spese_compilazione[Mese],A27,tbl_spese_compilazione[Categoria],$C$34)</f>
        <v>485.28</v>
      </c>
      <c r="D43" s="29">
        <f>SUMIFS(tbl_spese_compilazione[Euro Netto],tbl_spese_compilazione[Mese],A27,tbl_spese_compilazione[Categoria],$D$34)</f>
        <v>0</v>
      </c>
      <c r="E43" s="29">
        <f t="shared" si="6"/>
        <v>990.52</v>
      </c>
      <c r="G43" s="29">
        <f>SUMIFS(tbl_investimenti_compilazione[Euro],tbl_investimenti_compilazione[Mese],A27,tbl_investimenti_compilazione[Categoria],G42)</f>
        <v>0</v>
      </c>
      <c r="H43" s="29">
        <f>SUMIFS(tbl_investimenti_compilazione[Euro],tbl_investimenti_compilazione[Mese],A27,tbl_investimenti_compilazione[Categoria],H42)</f>
        <v>0</v>
      </c>
      <c r="I43" s="29">
        <f t="shared" si="7"/>
        <v>0</v>
      </c>
      <c r="M43" s="53">
        <f>G31</f>
        <v>100</v>
      </c>
      <c r="N43" s="43"/>
      <c r="P43" s="43"/>
      <c r="R43" s="28" t="s">
        <v>123</v>
      </c>
    </row>
    <row r="44" spans="2:24" x14ac:dyDescent="0.3">
      <c r="B44" s="35">
        <f>SUMIF(tbl_spese_compilazione[Mese],A28,tbl_spese_compilazione[Euro Netto])-C44-D44</f>
        <v>951.67000000000007</v>
      </c>
      <c r="C44" s="35">
        <f>SUMIFS(tbl_spese_compilazione[Euro Netto],tbl_spese_compilazione[Mese],A28,tbl_spese_compilazione[Categoria],$C$34)</f>
        <v>142.4</v>
      </c>
      <c r="D44" s="29">
        <f>SUMIFS(tbl_spese_compilazione[Euro Netto],tbl_spese_compilazione[Mese],A28,tbl_spese_compilazione[Categoria],$D$34)</f>
        <v>43.4</v>
      </c>
      <c r="E44" s="29">
        <f t="shared" si="6"/>
        <v>1137.4700000000003</v>
      </c>
      <c r="G44" s="29">
        <f>SUMIFS(tbl_investimenti_compilazione[Euro],tbl_investimenti_compilazione[Mese],A28,tbl_investimenti_compilazione[Categoria],G43)</f>
        <v>0</v>
      </c>
      <c r="H44" s="29">
        <f>SUMIFS(tbl_investimenti_compilazione[Euro],tbl_investimenti_compilazione[Mese],A28,tbl_investimenti_compilazione[Categoria],H43)</f>
        <v>0</v>
      </c>
      <c r="I44" s="29">
        <f t="shared" si="7"/>
        <v>0</v>
      </c>
      <c r="M44" s="34" t="s">
        <v>31</v>
      </c>
      <c r="N44" s="2"/>
      <c r="R44" s="29">
        <f>IF(M43&lt;0,R42,R42+M43)</f>
        <v>324.34999999999991</v>
      </c>
    </row>
    <row r="45" spans="2:24" x14ac:dyDescent="0.3">
      <c r="B45" s="35">
        <f>SUMIF(tbl_spese_compilazione[Mese],A29,tbl_spese_compilazione[Euro Netto])-C45-D45</f>
        <v>0</v>
      </c>
      <c r="C45" s="35">
        <f>SUMIFS(tbl_spese_compilazione[Euro Netto],tbl_spese_compilazione[Mese],A29,tbl_spese_compilazione[Categoria],$C$34)</f>
        <v>0</v>
      </c>
      <c r="D45" s="29">
        <f>SUMIFS(tbl_spese_compilazione[Euro Netto],tbl_spese_compilazione[Mese],A29,tbl_spese_compilazione[Categoria],$D$34)</f>
        <v>0</v>
      </c>
      <c r="E45" s="29">
        <f t="shared" si="6"/>
        <v>0</v>
      </c>
      <c r="G45" s="29">
        <f>SUMIFS(tbl_investimenti_compilazione[Euro],tbl_investimenti_compilazione[Mese],A29,tbl_investimenti_compilazione[Categoria],G44)</f>
        <v>0</v>
      </c>
      <c r="H45" s="29">
        <f>SUMIFS(tbl_investimenti_compilazione[Euro],tbl_investimenti_compilazione[Mese],A29,tbl_investimenti_compilazione[Categoria],H44)</f>
        <v>0</v>
      </c>
      <c r="I45" s="29">
        <f t="shared" si="7"/>
        <v>0</v>
      </c>
      <c r="M45" s="2" t="s">
        <v>87</v>
      </c>
      <c r="N45" s="2" t="s">
        <v>119</v>
      </c>
      <c r="P45" t="s">
        <v>111</v>
      </c>
    </row>
    <row r="46" spans="2:24" x14ac:dyDescent="0.3">
      <c r="B46" s="35">
        <f>SUMIF(tbl_spese_compilazione[Mese],A30,tbl_spese_compilazione[Euro Netto])-C46-D46</f>
        <v>0</v>
      </c>
      <c r="C46" s="35">
        <f>SUMIFS(tbl_spese_compilazione[Euro Netto],tbl_spese_compilazione[Mese],A30,tbl_spese_compilazione[Categoria],$C$34)</f>
        <v>0</v>
      </c>
      <c r="D46" s="29">
        <f>SUMIFS(tbl_spese_compilazione[Euro Netto],tbl_spese_compilazione[Mese],A30,tbl_spese_compilazione[Categoria],$D$34)</f>
        <v>0</v>
      </c>
      <c r="E46" s="29">
        <f t="shared" si="6"/>
        <v>0</v>
      </c>
      <c r="G46" s="29">
        <f>SUMIFS(tbl_investimenti_compilazione[Euro],tbl_investimenti_compilazione[Mese],A30,tbl_investimenti_compilazione[Categoria],G45)</f>
        <v>0</v>
      </c>
      <c r="H46" s="29">
        <f>SUMIFS(tbl_investimenti_compilazione[Euro],tbl_investimenti_compilazione[Mese],A30,tbl_investimenti_compilazione[Categoria],H45)</f>
        <v>0</v>
      </c>
      <c r="I46" s="29">
        <f t="shared" si="7"/>
        <v>0</v>
      </c>
      <c r="M46" s="30">
        <f>G47</f>
        <v>0</v>
      </c>
      <c r="N46" s="30">
        <f>H47</f>
        <v>0</v>
      </c>
      <c r="P46" s="29">
        <f>M46+N46</f>
        <v>0</v>
      </c>
    </row>
    <row r="47" spans="2:24" ht="15" thickBot="1" x14ac:dyDescent="0.35">
      <c r="B47" s="37">
        <f t="shared" ref="B47:D47" si="8">SUM(B35:B46)</f>
        <v>1456.91</v>
      </c>
      <c r="C47" s="37">
        <f t="shared" si="8"/>
        <v>627.67999999999995</v>
      </c>
      <c r="D47" s="37">
        <f t="shared" si="8"/>
        <v>43.4</v>
      </c>
      <c r="E47" s="37">
        <f>SUM(E35:E46)</f>
        <v>2127.9900000000002</v>
      </c>
      <c r="G47" s="37">
        <f>SUM(G35:G46)</f>
        <v>0</v>
      </c>
      <c r="H47" s="37">
        <f>SUM(H35:H46)</f>
        <v>0</v>
      </c>
      <c r="I47" s="37">
        <f>SUM(I35:I46)</f>
        <v>0</v>
      </c>
    </row>
    <row r="48" spans="2:24" x14ac:dyDescent="0.3">
      <c r="N48" s="44" t="s">
        <v>160</v>
      </c>
    </row>
    <row r="49" spans="1:14" x14ac:dyDescent="0.3">
      <c r="N49" s="45">
        <f>R42+IMPOSTAZIONI!E7</f>
        <v>1494.1899999999998</v>
      </c>
    </row>
    <row r="50" spans="1:14" x14ac:dyDescent="0.3">
      <c r="N50" s="46" t="s">
        <v>139</v>
      </c>
    </row>
    <row r="51" spans="1:14" x14ac:dyDescent="0.3">
      <c r="N51" s="45">
        <f>N49+N53</f>
        <v>1594.1899999999998</v>
      </c>
    </row>
    <row r="52" spans="1:14" x14ac:dyDescent="0.3">
      <c r="N52" s="46" t="s">
        <v>121</v>
      </c>
    </row>
    <row r="53" spans="1:14" ht="15" thickBot="1" x14ac:dyDescent="0.35">
      <c r="A53" t="s">
        <v>151</v>
      </c>
      <c r="B53">
        <f>IMPOSTAZIONI!E5</f>
        <v>2025</v>
      </c>
      <c r="N53" s="47">
        <f>G31+IMPOSTAZIONI!E9</f>
        <v>100</v>
      </c>
    </row>
    <row r="54" spans="1:14" x14ac:dyDescent="0.3">
      <c r="A54" s="56">
        <f>DATE($B$53,B54,1)</f>
        <v>45658</v>
      </c>
      <c r="B54">
        <v>1</v>
      </c>
    </row>
    <row r="55" spans="1:14" x14ac:dyDescent="0.3">
      <c r="A55" s="56">
        <f t="shared" ref="A55:A65" si="9">DATE($B$53,B55,1)</f>
        <v>45689</v>
      </c>
      <c r="B55">
        <v>2</v>
      </c>
    </row>
    <row r="56" spans="1:14" x14ac:dyDescent="0.3">
      <c r="A56" s="56">
        <f t="shared" si="9"/>
        <v>45717</v>
      </c>
      <c r="B56">
        <v>3</v>
      </c>
    </row>
    <row r="57" spans="1:14" x14ac:dyDescent="0.3">
      <c r="A57" s="56">
        <f t="shared" si="9"/>
        <v>45748</v>
      </c>
      <c r="B57">
        <v>4</v>
      </c>
    </row>
    <row r="58" spans="1:14" x14ac:dyDescent="0.3">
      <c r="A58" s="56">
        <f t="shared" si="9"/>
        <v>45778</v>
      </c>
      <c r="B58">
        <v>5</v>
      </c>
    </row>
    <row r="59" spans="1:14" x14ac:dyDescent="0.3">
      <c r="A59" s="56">
        <f t="shared" si="9"/>
        <v>45809</v>
      </c>
      <c r="B59">
        <v>6</v>
      </c>
    </row>
    <row r="60" spans="1:14" x14ac:dyDescent="0.3">
      <c r="A60" s="56">
        <f t="shared" si="9"/>
        <v>45839</v>
      </c>
      <c r="B60">
        <v>7</v>
      </c>
    </row>
    <row r="61" spans="1:14" x14ac:dyDescent="0.3">
      <c r="A61" s="56">
        <f t="shared" si="9"/>
        <v>45870</v>
      </c>
      <c r="B61">
        <v>8</v>
      </c>
    </row>
    <row r="62" spans="1:14" x14ac:dyDescent="0.3">
      <c r="A62" s="56">
        <f t="shared" si="9"/>
        <v>45901</v>
      </c>
      <c r="B62">
        <v>9</v>
      </c>
    </row>
    <row r="63" spans="1:14" x14ac:dyDescent="0.3">
      <c r="A63" s="56">
        <f t="shared" si="9"/>
        <v>45931</v>
      </c>
      <c r="B63">
        <v>10</v>
      </c>
    </row>
    <row r="64" spans="1:14" x14ac:dyDescent="0.3">
      <c r="A64" s="56">
        <f t="shared" si="9"/>
        <v>45962</v>
      </c>
      <c r="B64">
        <v>11</v>
      </c>
    </row>
    <row r="65" spans="1:17" x14ac:dyDescent="0.3">
      <c r="A65" s="56">
        <f t="shared" si="9"/>
        <v>45992</v>
      </c>
      <c r="B65">
        <v>12</v>
      </c>
    </row>
    <row r="68" spans="1:17" x14ac:dyDescent="0.3">
      <c r="G68" t="s">
        <v>288</v>
      </c>
      <c r="L68" t="s">
        <v>291</v>
      </c>
    </row>
    <row r="69" spans="1:17" x14ac:dyDescent="0.3">
      <c r="B69" s="28" t="s">
        <v>257</v>
      </c>
      <c r="E69" t="s">
        <v>113</v>
      </c>
      <c r="F69" s="54">
        <f>IMPOSTAZIONI!E19</f>
        <v>0.5</v>
      </c>
      <c r="G69" t="s">
        <v>113</v>
      </c>
      <c r="H69" t="s">
        <v>141</v>
      </c>
      <c r="I69" t="s">
        <v>142</v>
      </c>
      <c r="J69" t="s">
        <v>290</v>
      </c>
      <c r="L69" t="s">
        <v>113</v>
      </c>
      <c r="M69" t="s">
        <v>74</v>
      </c>
      <c r="N69" t="s">
        <v>292</v>
      </c>
      <c r="O69" t="s">
        <v>117</v>
      </c>
      <c r="P69" t="s">
        <v>45</v>
      </c>
      <c r="Q69" t="s">
        <v>293</v>
      </c>
    </row>
    <row r="70" spans="1:17" x14ac:dyDescent="0.3">
      <c r="A70" t="s">
        <v>5</v>
      </c>
      <c r="B70" s="29">
        <f>SUMIF(tbl_spese_compilazione[Mese],A70,tbl_spese_compilazione[Eccedenze])</f>
        <v>0</v>
      </c>
      <c r="E70" t="s">
        <v>74</v>
      </c>
      <c r="F70" s="54">
        <f>IMPOSTAZIONI!E21</f>
        <v>0.3</v>
      </c>
      <c r="G70" s="29">
        <f>$F$69*D19</f>
        <v>0</v>
      </c>
      <c r="H70" s="195">
        <f>IFERROR(B35/G70,0)</f>
        <v>0</v>
      </c>
      <c r="I70" s="195">
        <f>IF(1-H70&lt;0,0,1-H70)</f>
        <v>1</v>
      </c>
      <c r="J70" t="str">
        <f>IF(G70-B35&lt;=0,"--",G70-B35)</f>
        <v>--</v>
      </c>
      <c r="L70" s="195">
        <f>IFERROR(B35/D19,0)</f>
        <v>0</v>
      </c>
      <c r="M70" s="195">
        <f>IFERROR(C35/D19,0)</f>
        <v>0</v>
      </c>
      <c r="N70" s="195">
        <f>IFERROR(D35/D19,0)</f>
        <v>0</v>
      </c>
      <c r="O70" s="195">
        <f>IFERROR(G19/D19,0)</f>
        <v>0</v>
      </c>
      <c r="P70" s="195">
        <f>IFERROR(I35/D19,0)</f>
        <v>0</v>
      </c>
      <c r="Q70" s="195">
        <f>IFERROR(IF(I19/D19&lt;0,0,I19/D19),0)</f>
        <v>0</v>
      </c>
    </row>
    <row r="71" spans="1:17" x14ac:dyDescent="0.3">
      <c r="A71" t="s">
        <v>6</v>
      </c>
      <c r="B71" s="29">
        <f>SUMIF(tbl_spese_compilazione[Mese],A71,tbl_spese_compilazione[Eccedenze])</f>
        <v>0</v>
      </c>
      <c r="E71" t="s">
        <v>117</v>
      </c>
      <c r="F71" s="54">
        <f>IMPOSTAZIONI!E23</f>
        <v>0.19</v>
      </c>
      <c r="G71" s="29">
        <f>$F$69*D20</f>
        <v>0</v>
      </c>
      <c r="H71" s="195">
        <f t="shared" ref="H71:H82" si="10">IFERROR(B36/G71,0)</f>
        <v>0</v>
      </c>
      <c r="I71" s="195">
        <f t="shared" ref="I71:I82" si="11">IF(1-H71&lt;0,0,1-H71)</f>
        <v>1</v>
      </c>
      <c r="J71" t="str">
        <f t="shared" ref="J71:J82" si="12">IF(G71-B36&lt;=0,"--",G71-B36)</f>
        <v>--</v>
      </c>
      <c r="L71" s="195">
        <f t="shared" ref="L71:L82" si="13">IFERROR(B36/D20,0)</f>
        <v>0</v>
      </c>
      <c r="M71" s="195">
        <f t="shared" ref="M71:M82" si="14">IFERROR(C36/D20,0)</f>
        <v>0</v>
      </c>
      <c r="N71" s="195">
        <f t="shared" ref="N71:N82" si="15">IFERROR(D36/D20,0)</f>
        <v>0</v>
      </c>
      <c r="O71" s="195">
        <f t="shared" ref="O71:O82" si="16">IFERROR(G20/D20,0)</f>
        <v>0</v>
      </c>
      <c r="P71" s="195">
        <f t="shared" ref="P71:P82" si="17">IFERROR(I36/D20,0)</f>
        <v>0</v>
      </c>
      <c r="Q71" s="195">
        <f t="shared" ref="Q71:Q82" si="18">IFERROR(IF(I20/D20&lt;0,0,I20/D20),0)</f>
        <v>0</v>
      </c>
    </row>
    <row r="72" spans="1:17" x14ac:dyDescent="0.3">
      <c r="A72" t="s">
        <v>8</v>
      </c>
      <c r="B72" s="29">
        <f>SUMIF(tbl_spese_compilazione[Mese],A72,tbl_spese_compilazione[Eccedenze])</f>
        <v>0</v>
      </c>
      <c r="E72" s="41" t="s">
        <v>45</v>
      </c>
      <c r="F72" s="54">
        <f>IMPOSTAZIONI!E25</f>
        <v>0.01</v>
      </c>
      <c r="G72" s="29">
        <f>$F$69*D21</f>
        <v>0</v>
      </c>
      <c r="H72" s="195">
        <f t="shared" si="10"/>
        <v>0</v>
      </c>
      <c r="I72" s="195">
        <f t="shared" si="11"/>
        <v>1</v>
      </c>
      <c r="J72" t="str">
        <f t="shared" si="12"/>
        <v>--</v>
      </c>
      <c r="L72" s="195">
        <f t="shared" si="13"/>
        <v>0</v>
      </c>
      <c r="M72" s="195">
        <f t="shared" si="14"/>
        <v>0</v>
      </c>
      <c r="N72" s="195">
        <f t="shared" si="15"/>
        <v>0</v>
      </c>
      <c r="O72" s="195">
        <f t="shared" si="16"/>
        <v>0</v>
      </c>
      <c r="P72" s="195">
        <f t="shared" si="17"/>
        <v>0</v>
      </c>
      <c r="Q72" s="195">
        <f t="shared" si="18"/>
        <v>0</v>
      </c>
    </row>
    <row r="73" spans="1:17" x14ac:dyDescent="0.3">
      <c r="A73" t="s">
        <v>9</v>
      </c>
      <c r="B73" s="29">
        <f>SUMIF(tbl_spese_compilazione[Mese],A73,tbl_spese_compilazione[Eccedenze])</f>
        <v>0</v>
      </c>
      <c r="G73" s="29">
        <f>$F$69*D22</f>
        <v>0</v>
      </c>
      <c r="H73" s="195">
        <f t="shared" si="10"/>
        <v>0</v>
      </c>
      <c r="I73" s="195">
        <f t="shared" si="11"/>
        <v>1</v>
      </c>
      <c r="J73" t="str">
        <f t="shared" si="12"/>
        <v>--</v>
      </c>
      <c r="L73" s="195">
        <f t="shared" si="13"/>
        <v>0</v>
      </c>
      <c r="M73" s="195">
        <f t="shared" si="14"/>
        <v>0</v>
      </c>
      <c r="N73" s="195">
        <f t="shared" si="15"/>
        <v>0</v>
      </c>
      <c r="O73" s="195">
        <f t="shared" si="16"/>
        <v>0</v>
      </c>
      <c r="P73" s="195">
        <f t="shared" si="17"/>
        <v>0</v>
      </c>
      <c r="Q73" s="195">
        <f t="shared" si="18"/>
        <v>0</v>
      </c>
    </row>
    <row r="74" spans="1:17" x14ac:dyDescent="0.3">
      <c r="A74" t="s">
        <v>10</v>
      </c>
      <c r="B74" s="29">
        <f>SUMIF(tbl_spese_compilazione[Mese],A74,tbl_spese_compilazione[Eccedenze])</f>
        <v>0</v>
      </c>
      <c r="G74" s="29">
        <f>$F$69*D23</f>
        <v>0</v>
      </c>
      <c r="H74" s="195">
        <f t="shared" si="10"/>
        <v>0</v>
      </c>
      <c r="I74" s="195">
        <f t="shared" si="11"/>
        <v>1</v>
      </c>
      <c r="J74" t="str">
        <f t="shared" si="12"/>
        <v>--</v>
      </c>
      <c r="L74" s="195">
        <f t="shared" si="13"/>
        <v>0</v>
      </c>
      <c r="M74" s="195">
        <f t="shared" si="14"/>
        <v>0</v>
      </c>
      <c r="N74" s="195">
        <f t="shared" si="15"/>
        <v>0</v>
      </c>
      <c r="O74" s="195">
        <f t="shared" si="16"/>
        <v>0</v>
      </c>
      <c r="P74" s="195">
        <f t="shared" si="17"/>
        <v>0</v>
      </c>
      <c r="Q74" s="195">
        <f t="shared" si="18"/>
        <v>0</v>
      </c>
    </row>
    <row r="75" spans="1:17" x14ac:dyDescent="0.3">
      <c r="A75" t="s">
        <v>11</v>
      </c>
      <c r="B75" s="29">
        <f>SUMIF(tbl_spese_compilazione[Mese],A75,tbl_spese_compilazione[Eccedenze])</f>
        <v>0</v>
      </c>
      <c r="G75" s="29">
        <f>$F$69*D24</f>
        <v>0</v>
      </c>
      <c r="H75" s="195">
        <f t="shared" si="10"/>
        <v>0</v>
      </c>
      <c r="I75" s="195">
        <f t="shared" si="11"/>
        <v>1</v>
      </c>
      <c r="J75" t="str">
        <f t="shared" si="12"/>
        <v>--</v>
      </c>
      <c r="L75" s="195">
        <f t="shared" si="13"/>
        <v>0</v>
      </c>
      <c r="M75" s="195">
        <f t="shared" si="14"/>
        <v>0</v>
      </c>
      <c r="N75" s="195">
        <f t="shared" si="15"/>
        <v>0</v>
      </c>
      <c r="O75" s="195">
        <f t="shared" si="16"/>
        <v>0</v>
      </c>
      <c r="P75" s="195">
        <f t="shared" si="17"/>
        <v>0</v>
      </c>
      <c r="Q75" s="195">
        <f t="shared" si="18"/>
        <v>0</v>
      </c>
    </row>
    <row r="76" spans="1:17" x14ac:dyDescent="0.3">
      <c r="A76" t="s">
        <v>12</v>
      </c>
      <c r="B76" s="29">
        <f>SUMIF(tbl_spese_compilazione[Mese],A76,tbl_spese_compilazione[Eccedenze])</f>
        <v>0</v>
      </c>
      <c r="G76" s="29">
        <f>$F$69*D25</f>
        <v>0</v>
      </c>
      <c r="H76" s="195">
        <f t="shared" si="10"/>
        <v>0</v>
      </c>
      <c r="I76" s="195">
        <f t="shared" si="11"/>
        <v>1</v>
      </c>
      <c r="J76" t="str">
        <f t="shared" si="12"/>
        <v>--</v>
      </c>
      <c r="L76" s="195">
        <f t="shared" si="13"/>
        <v>0</v>
      </c>
      <c r="M76" s="195">
        <f t="shared" si="14"/>
        <v>0</v>
      </c>
      <c r="N76" s="195">
        <f t="shared" si="15"/>
        <v>0</v>
      </c>
      <c r="O76" s="195">
        <f t="shared" si="16"/>
        <v>0</v>
      </c>
      <c r="P76" s="195">
        <f t="shared" si="17"/>
        <v>0</v>
      </c>
      <c r="Q76" s="195">
        <f t="shared" si="18"/>
        <v>0</v>
      </c>
    </row>
    <row r="77" spans="1:17" x14ac:dyDescent="0.3">
      <c r="A77" t="s">
        <v>13</v>
      </c>
      <c r="B77" s="29">
        <f>SUMIF(tbl_spese_compilazione[Mese],A77,tbl_spese_compilazione[Eccedenze])</f>
        <v>0</v>
      </c>
      <c r="G77" s="29">
        <f>$F$69*D26</f>
        <v>0</v>
      </c>
      <c r="H77" s="195">
        <f t="shared" si="10"/>
        <v>0</v>
      </c>
      <c r="I77" s="195">
        <f t="shared" si="11"/>
        <v>1</v>
      </c>
      <c r="J77" t="str">
        <f t="shared" si="12"/>
        <v>--</v>
      </c>
      <c r="L77" s="195">
        <f t="shared" si="13"/>
        <v>0</v>
      </c>
      <c r="M77" s="195">
        <f t="shared" si="14"/>
        <v>0</v>
      </c>
      <c r="N77" s="195">
        <f t="shared" si="15"/>
        <v>0</v>
      </c>
      <c r="O77" s="195">
        <f t="shared" si="16"/>
        <v>0</v>
      </c>
      <c r="P77" s="195">
        <f t="shared" si="17"/>
        <v>0</v>
      </c>
      <c r="Q77" s="195">
        <f t="shared" si="18"/>
        <v>0</v>
      </c>
    </row>
    <row r="78" spans="1:17" x14ac:dyDescent="0.3">
      <c r="A78" t="s">
        <v>14</v>
      </c>
      <c r="B78" s="29">
        <f>SUMIF(tbl_spese_compilazione[Mese],A78,tbl_spese_compilazione[Eccedenze])</f>
        <v>107.03999999999996</v>
      </c>
      <c r="G78" s="29">
        <f>$F$69*D27</f>
        <v>394.02</v>
      </c>
      <c r="H78" s="195">
        <f t="shared" si="10"/>
        <v>1.2822699355362672</v>
      </c>
      <c r="I78" s="195">
        <f t="shared" si="11"/>
        <v>0</v>
      </c>
      <c r="J78" t="str">
        <f t="shared" si="12"/>
        <v>--</v>
      </c>
      <c r="L78" s="195">
        <f t="shared" si="13"/>
        <v>0.64113496776813361</v>
      </c>
      <c r="M78" s="195">
        <f t="shared" si="14"/>
        <v>0.61580630424851535</v>
      </c>
      <c r="N78" s="195">
        <f t="shared" si="15"/>
        <v>0</v>
      </c>
      <c r="O78" s="195">
        <f t="shared" si="16"/>
        <v>0</v>
      </c>
      <c r="P78" s="195">
        <f t="shared" si="17"/>
        <v>0</v>
      </c>
      <c r="Q78" s="195">
        <f t="shared" si="18"/>
        <v>0</v>
      </c>
    </row>
    <row r="79" spans="1:17" x14ac:dyDescent="0.3">
      <c r="A79" t="s">
        <v>15</v>
      </c>
      <c r="B79" s="29">
        <f>SUMIF(tbl_spese_compilazione[Mese],A79,tbl_spese_compilazione[Eccedenze])</f>
        <v>0</v>
      </c>
      <c r="G79" s="29">
        <f>$F$69*D28</f>
        <v>832.15</v>
      </c>
      <c r="H79" s="195">
        <f t="shared" si="10"/>
        <v>1.1436279516914019</v>
      </c>
      <c r="I79" s="195">
        <f t="shared" si="11"/>
        <v>0</v>
      </c>
      <c r="J79" t="str">
        <f t="shared" si="12"/>
        <v>--</v>
      </c>
      <c r="L79" s="195">
        <f t="shared" si="13"/>
        <v>0.57181397584570093</v>
      </c>
      <c r="M79" s="195">
        <f t="shared" si="14"/>
        <v>8.5561497326203217E-2</v>
      </c>
      <c r="N79" s="195">
        <f t="shared" si="15"/>
        <v>2.6077029381722044E-2</v>
      </c>
      <c r="O79" s="195">
        <f t="shared" si="16"/>
        <v>6.008532115604158E-2</v>
      </c>
      <c r="P79" s="195">
        <f t="shared" si="17"/>
        <v>0</v>
      </c>
      <c r="Q79" s="195">
        <f t="shared" si="18"/>
        <v>0.25646217629033208</v>
      </c>
    </row>
    <row r="80" spans="1:17" x14ac:dyDescent="0.3">
      <c r="A80" t="s">
        <v>16</v>
      </c>
      <c r="B80" s="29">
        <f>SUMIF(tbl_spese_compilazione[Mese],A80,tbl_spese_compilazione[Eccedenze])</f>
        <v>0</v>
      </c>
      <c r="G80" s="29">
        <f>$F$69*D29</f>
        <v>0</v>
      </c>
      <c r="H80" s="195">
        <f t="shared" si="10"/>
        <v>0</v>
      </c>
      <c r="I80" s="195">
        <f t="shared" si="11"/>
        <v>1</v>
      </c>
      <c r="J80" t="str">
        <f t="shared" si="12"/>
        <v>--</v>
      </c>
      <c r="L80" s="195">
        <f t="shared" si="13"/>
        <v>0</v>
      </c>
      <c r="M80" s="195">
        <f t="shared" si="14"/>
        <v>0</v>
      </c>
      <c r="N80" s="195">
        <f t="shared" si="15"/>
        <v>0</v>
      </c>
      <c r="O80" s="195">
        <f t="shared" si="16"/>
        <v>0</v>
      </c>
      <c r="P80" s="195">
        <f t="shared" si="17"/>
        <v>0</v>
      </c>
      <c r="Q80" s="195">
        <f t="shared" si="18"/>
        <v>0</v>
      </c>
    </row>
    <row r="81" spans="1:17" x14ac:dyDescent="0.3">
      <c r="A81" t="s">
        <v>7</v>
      </c>
      <c r="B81" s="29">
        <f>SUMIF(tbl_spese_compilazione[Mese],A81,tbl_spese_compilazione[Eccedenze])</f>
        <v>0</v>
      </c>
      <c r="G81" s="29">
        <f>$F$69*D30</f>
        <v>0</v>
      </c>
      <c r="H81" s="195">
        <f t="shared" si="10"/>
        <v>0</v>
      </c>
      <c r="I81" s="195">
        <f t="shared" si="11"/>
        <v>1</v>
      </c>
      <c r="J81" t="str">
        <f t="shared" si="12"/>
        <v>--</v>
      </c>
      <c r="L81" s="195">
        <f t="shared" si="13"/>
        <v>0</v>
      </c>
      <c r="M81" s="195">
        <f t="shared" si="14"/>
        <v>0</v>
      </c>
      <c r="N81" s="195">
        <f t="shared" si="15"/>
        <v>0</v>
      </c>
      <c r="O81" s="195">
        <f t="shared" si="16"/>
        <v>0</v>
      </c>
      <c r="P81" s="195">
        <f t="shared" si="17"/>
        <v>0</v>
      </c>
      <c r="Q81" s="195">
        <f t="shared" si="18"/>
        <v>0</v>
      </c>
    </row>
    <row r="82" spans="1:17" x14ac:dyDescent="0.3">
      <c r="G82" s="37">
        <f>$F$69*D31</f>
        <v>1226.17</v>
      </c>
      <c r="H82" s="196">
        <f t="shared" si="10"/>
        <v>1.1881794530937799</v>
      </c>
      <c r="I82" s="196">
        <f t="shared" si="11"/>
        <v>0</v>
      </c>
      <c r="J82" s="28" t="str">
        <f t="shared" si="12"/>
        <v>--</v>
      </c>
      <c r="L82" s="196">
        <f t="shared" si="13"/>
        <v>0.59408972654688996</v>
      </c>
      <c r="M82" s="196">
        <f t="shared" si="14"/>
        <v>0.25595145860688157</v>
      </c>
      <c r="N82" s="196">
        <f t="shared" si="15"/>
        <v>1.7697382907753408E-2</v>
      </c>
      <c r="O82" s="196">
        <f t="shared" si="16"/>
        <v>4.0777379971782053E-2</v>
      </c>
      <c r="P82" s="196">
        <f t="shared" si="17"/>
        <v>0</v>
      </c>
      <c r="Q82" s="196">
        <f t="shared" si="18"/>
        <v>9.1484051966693E-2</v>
      </c>
    </row>
    <row r="84" spans="1:17" x14ac:dyDescent="0.3">
      <c r="G84" t="s">
        <v>288</v>
      </c>
    </row>
    <row r="85" spans="1:17" x14ac:dyDescent="0.3">
      <c r="G85" t="s">
        <v>74</v>
      </c>
      <c r="H85" t="s">
        <v>141</v>
      </c>
      <c r="I85" t="s">
        <v>142</v>
      </c>
      <c r="J85" t="s">
        <v>290</v>
      </c>
    </row>
    <row r="86" spans="1:17" x14ac:dyDescent="0.3">
      <c r="G86" s="29">
        <f>$F$70*D19</f>
        <v>0</v>
      </c>
      <c r="H86" s="195">
        <f>IFERROR(C35/G86,0)</f>
        <v>0</v>
      </c>
      <c r="I86" s="195">
        <f>IF(1-H86&lt;0,0,1-H86)</f>
        <v>1</v>
      </c>
      <c r="J86" t="str">
        <f>IF(G86-C35&lt;=0,"--",G86-C35)</f>
        <v>--</v>
      </c>
    </row>
    <row r="87" spans="1:17" x14ac:dyDescent="0.3">
      <c r="G87" s="29">
        <f>$F$70*D20</f>
        <v>0</v>
      </c>
      <c r="H87" s="195">
        <f t="shared" ref="H87:H98" si="19">IFERROR(C36/G87,0)</f>
        <v>0</v>
      </c>
      <c r="I87" s="195">
        <f t="shared" ref="I87:I98" si="20">IF(1-H87&lt;0,0,1-H87)</f>
        <v>1</v>
      </c>
      <c r="J87" t="str">
        <f t="shared" ref="J87:J98" si="21">IF(G87-C36&lt;=0,"--",G87-C36)</f>
        <v>--</v>
      </c>
    </row>
    <row r="88" spans="1:17" x14ac:dyDescent="0.3">
      <c r="G88" s="29">
        <f>$F$70*D21</f>
        <v>0</v>
      </c>
      <c r="H88" s="195">
        <f t="shared" si="19"/>
        <v>0</v>
      </c>
      <c r="I88" s="195">
        <f t="shared" si="20"/>
        <v>1</v>
      </c>
      <c r="J88" t="str">
        <f t="shared" si="21"/>
        <v>--</v>
      </c>
    </row>
    <row r="89" spans="1:17" x14ac:dyDescent="0.3">
      <c r="G89" s="29">
        <f>$F$70*D22</f>
        <v>0</v>
      </c>
      <c r="H89" s="195">
        <f t="shared" si="19"/>
        <v>0</v>
      </c>
      <c r="I89" s="195">
        <f t="shared" si="20"/>
        <v>1</v>
      </c>
      <c r="J89" t="str">
        <f t="shared" si="21"/>
        <v>--</v>
      </c>
    </row>
    <row r="90" spans="1:17" x14ac:dyDescent="0.3">
      <c r="G90" s="29">
        <f>$F$70*D23</f>
        <v>0</v>
      </c>
      <c r="H90" s="195">
        <f t="shared" si="19"/>
        <v>0</v>
      </c>
      <c r="I90" s="195">
        <f t="shared" si="20"/>
        <v>1</v>
      </c>
      <c r="J90" t="str">
        <f t="shared" si="21"/>
        <v>--</v>
      </c>
    </row>
    <row r="91" spans="1:17" x14ac:dyDescent="0.3">
      <c r="G91" s="29">
        <f>$F$70*D24</f>
        <v>0</v>
      </c>
      <c r="H91" s="195">
        <f t="shared" si="19"/>
        <v>0</v>
      </c>
      <c r="I91" s="195">
        <f t="shared" si="20"/>
        <v>1</v>
      </c>
      <c r="J91" t="str">
        <f t="shared" si="21"/>
        <v>--</v>
      </c>
    </row>
    <row r="92" spans="1:17" x14ac:dyDescent="0.3">
      <c r="G92" s="29">
        <f>$F$70*D25</f>
        <v>0</v>
      </c>
      <c r="H92" s="195">
        <f t="shared" si="19"/>
        <v>0</v>
      </c>
      <c r="I92" s="195">
        <f t="shared" si="20"/>
        <v>1</v>
      </c>
      <c r="J92" t="str">
        <f t="shared" si="21"/>
        <v>--</v>
      </c>
    </row>
    <row r="93" spans="1:17" x14ac:dyDescent="0.3">
      <c r="G93" s="29">
        <f>$F$70*D26</f>
        <v>0</v>
      </c>
      <c r="H93" s="195">
        <f t="shared" si="19"/>
        <v>0</v>
      </c>
      <c r="I93" s="195">
        <f t="shared" si="20"/>
        <v>1</v>
      </c>
      <c r="J93" t="str">
        <f t="shared" si="21"/>
        <v>--</v>
      </c>
    </row>
    <row r="94" spans="1:17" x14ac:dyDescent="0.3">
      <c r="G94" s="29">
        <f>$F$70*D27</f>
        <v>236.41199999999998</v>
      </c>
      <c r="H94" s="195">
        <f t="shared" si="19"/>
        <v>2.0526876808283845</v>
      </c>
      <c r="I94" s="195">
        <f t="shared" si="20"/>
        <v>0</v>
      </c>
      <c r="J94" t="str">
        <f t="shared" si="21"/>
        <v>--</v>
      </c>
    </row>
    <row r="95" spans="1:17" x14ac:dyDescent="0.3">
      <c r="G95" s="29">
        <f>$F$70*D28</f>
        <v>499.28999999999996</v>
      </c>
      <c r="H95" s="195">
        <f t="shared" si="19"/>
        <v>0.28520499108734404</v>
      </c>
      <c r="I95" s="195">
        <f t="shared" si="20"/>
        <v>0.71479500891265602</v>
      </c>
      <c r="J95">
        <f t="shared" si="21"/>
        <v>356.89</v>
      </c>
    </row>
    <row r="96" spans="1:17" x14ac:dyDescent="0.3">
      <c r="G96" s="29">
        <f>$F$70*D29</f>
        <v>0</v>
      </c>
      <c r="H96" s="195">
        <f t="shared" si="19"/>
        <v>0</v>
      </c>
      <c r="I96" s="195">
        <f t="shared" si="20"/>
        <v>1</v>
      </c>
      <c r="J96" t="str">
        <f t="shared" si="21"/>
        <v>--</v>
      </c>
    </row>
    <row r="97" spans="7:10" x14ac:dyDescent="0.3">
      <c r="G97" s="29">
        <f>$F$70*D30</f>
        <v>0</v>
      </c>
      <c r="H97" s="195">
        <f t="shared" si="19"/>
        <v>0</v>
      </c>
      <c r="I97" s="195">
        <f t="shared" si="20"/>
        <v>1</v>
      </c>
      <c r="J97" t="str">
        <f t="shared" si="21"/>
        <v>--</v>
      </c>
    </row>
    <row r="98" spans="7:10" x14ac:dyDescent="0.3">
      <c r="G98" s="37">
        <f>$F$70*D31</f>
        <v>735.702</v>
      </c>
      <c r="H98" s="196">
        <f t="shared" si="19"/>
        <v>0.85317152868960522</v>
      </c>
      <c r="I98" s="196">
        <f t="shared" si="20"/>
        <v>0.14682847131039478</v>
      </c>
      <c r="J98" s="28">
        <f t="shared" si="21"/>
        <v>108.02200000000005</v>
      </c>
    </row>
    <row r="100" spans="7:10" x14ac:dyDescent="0.3">
      <c r="G100" t="s">
        <v>289</v>
      </c>
    </row>
    <row r="101" spans="7:10" x14ac:dyDescent="0.3">
      <c r="G101" t="s">
        <v>117</v>
      </c>
      <c r="H101" t="s">
        <v>141</v>
      </c>
      <c r="I101" t="s">
        <v>142</v>
      </c>
      <c r="J101" t="s">
        <v>290</v>
      </c>
    </row>
    <row r="102" spans="7:10" x14ac:dyDescent="0.3">
      <c r="G102" s="29">
        <f>$F$71*D19</f>
        <v>0</v>
      </c>
      <c r="H102" s="195">
        <f>IFERROR(G19/G102,0)</f>
        <v>0</v>
      </c>
      <c r="I102" s="195">
        <f>IF(1-H102&lt;0,0,1-H102)</f>
        <v>1</v>
      </c>
      <c r="J102" t="str">
        <f>IF(G102&gt;G19,G102-G19,"--")</f>
        <v>--</v>
      </c>
    </row>
    <row r="103" spans="7:10" x14ac:dyDescent="0.3">
      <c r="G103" s="29">
        <f>$F$71*D20</f>
        <v>0</v>
      </c>
      <c r="H103" s="195">
        <f t="shared" ref="H103:H114" si="22">IFERROR(G20/G103,0)</f>
        <v>0</v>
      </c>
      <c r="I103" s="195">
        <f t="shared" ref="I103:I114" si="23">IF(1-H103&lt;0,0,1-H103)</f>
        <v>1</v>
      </c>
      <c r="J103" t="str">
        <f t="shared" ref="J103:J114" si="24">IF(G103&gt;G20,G103-G20,"--")</f>
        <v>--</v>
      </c>
    </row>
    <row r="104" spans="7:10" x14ac:dyDescent="0.3">
      <c r="G104" s="29">
        <f>$F$71*D21</f>
        <v>0</v>
      </c>
      <c r="H104" s="195">
        <f t="shared" si="22"/>
        <v>0</v>
      </c>
      <c r="I104" s="195">
        <f t="shared" si="23"/>
        <v>1</v>
      </c>
      <c r="J104" t="str">
        <f t="shared" si="24"/>
        <v>--</v>
      </c>
    </row>
    <row r="105" spans="7:10" x14ac:dyDescent="0.3">
      <c r="G105" s="29">
        <f>$F$71*D22</f>
        <v>0</v>
      </c>
      <c r="H105" s="195">
        <f t="shared" si="22"/>
        <v>0</v>
      </c>
      <c r="I105" s="195">
        <f t="shared" si="23"/>
        <v>1</v>
      </c>
      <c r="J105" t="str">
        <f t="shared" si="24"/>
        <v>--</v>
      </c>
    </row>
    <row r="106" spans="7:10" x14ac:dyDescent="0.3">
      <c r="G106" s="29">
        <f>$F$71*D23</f>
        <v>0</v>
      </c>
      <c r="H106" s="195">
        <f t="shared" si="22"/>
        <v>0</v>
      </c>
      <c r="I106" s="195">
        <f t="shared" si="23"/>
        <v>1</v>
      </c>
      <c r="J106" t="str">
        <f t="shared" si="24"/>
        <v>--</v>
      </c>
    </row>
    <row r="107" spans="7:10" x14ac:dyDescent="0.3">
      <c r="G107" s="29">
        <f>$F$71*D24</f>
        <v>0</v>
      </c>
      <c r="H107" s="195">
        <f t="shared" si="22"/>
        <v>0</v>
      </c>
      <c r="I107" s="195">
        <f t="shared" si="23"/>
        <v>1</v>
      </c>
      <c r="J107" t="str">
        <f t="shared" si="24"/>
        <v>--</v>
      </c>
    </row>
    <row r="108" spans="7:10" x14ac:dyDescent="0.3">
      <c r="G108" s="29">
        <f>$F$71*D25</f>
        <v>0</v>
      </c>
      <c r="H108" s="195">
        <f t="shared" si="22"/>
        <v>0</v>
      </c>
      <c r="I108" s="195">
        <f t="shared" si="23"/>
        <v>1</v>
      </c>
      <c r="J108" t="str">
        <f t="shared" si="24"/>
        <v>--</v>
      </c>
    </row>
    <row r="109" spans="7:10" x14ac:dyDescent="0.3">
      <c r="G109" s="29">
        <f>$F$71*D26</f>
        <v>0</v>
      </c>
      <c r="H109" s="195">
        <f t="shared" si="22"/>
        <v>0</v>
      </c>
      <c r="I109" s="195">
        <f t="shared" si="23"/>
        <v>1</v>
      </c>
      <c r="J109" t="str">
        <f t="shared" si="24"/>
        <v>--</v>
      </c>
    </row>
    <row r="110" spans="7:10" x14ac:dyDescent="0.3">
      <c r="G110" s="29">
        <f>$F$71*D27</f>
        <v>149.7276</v>
      </c>
      <c r="H110" s="195">
        <f t="shared" si="22"/>
        <v>0</v>
      </c>
      <c r="I110" s="195">
        <f t="shared" si="23"/>
        <v>1</v>
      </c>
      <c r="J110">
        <f t="shared" si="24"/>
        <v>149.7276</v>
      </c>
    </row>
    <row r="111" spans="7:10" x14ac:dyDescent="0.3">
      <c r="G111" s="29">
        <f>$F$71*D28</f>
        <v>316.21699999999998</v>
      </c>
      <c r="H111" s="195">
        <f t="shared" si="22"/>
        <v>0.31623853240021887</v>
      </c>
      <c r="I111" s="195">
        <f t="shared" si="23"/>
        <v>0.68376146759978118</v>
      </c>
      <c r="J111">
        <f t="shared" si="24"/>
        <v>216.21699999999998</v>
      </c>
    </row>
    <row r="112" spans="7:10" x14ac:dyDescent="0.3">
      <c r="G112" s="29">
        <f>$F$71*D29</f>
        <v>0</v>
      </c>
      <c r="H112" s="195">
        <f t="shared" si="22"/>
        <v>0</v>
      </c>
      <c r="I112" s="195">
        <f t="shared" si="23"/>
        <v>1</v>
      </c>
      <c r="J112" t="str">
        <f t="shared" si="24"/>
        <v>--</v>
      </c>
    </row>
    <row r="113" spans="7:10" x14ac:dyDescent="0.3">
      <c r="G113" s="29">
        <f>$F$71*D30</f>
        <v>0</v>
      </c>
      <c r="H113" s="195">
        <f t="shared" si="22"/>
        <v>0</v>
      </c>
      <c r="I113" s="195">
        <f t="shared" si="23"/>
        <v>1</v>
      </c>
      <c r="J113" t="str">
        <f t="shared" si="24"/>
        <v>--</v>
      </c>
    </row>
    <row r="114" spans="7:10" x14ac:dyDescent="0.3">
      <c r="G114" s="37">
        <f>$F$71*D31</f>
        <v>465.94460000000004</v>
      </c>
      <c r="H114" s="196">
        <f t="shared" si="22"/>
        <v>0.21461778932516867</v>
      </c>
      <c r="I114" s="196">
        <f t="shared" si="23"/>
        <v>0.78538221067483138</v>
      </c>
      <c r="J114" s="28">
        <f t="shared" si="24"/>
        <v>365.94460000000004</v>
      </c>
    </row>
    <row r="116" spans="7:10" x14ac:dyDescent="0.3">
      <c r="G116" t="s">
        <v>289</v>
      </c>
    </row>
    <row r="117" spans="7:10" x14ac:dyDescent="0.3">
      <c r="G117" t="s">
        <v>45</v>
      </c>
      <c r="H117" t="s">
        <v>141</v>
      </c>
      <c r="I117" t="s">
        <v>142</v>
      </c>
      <c r="J117" t="s">
        <v>290</v>
      </c>
    </row>
    <row r="118" spans="7:10" x14ac:dyDescent="0.3">
      <c r="G118" s="29">
        <f>$F$72*D19</f>
        <v>0</v>
      </c>
      <c r="H118" s="195">
        <f>IFERROR(I35/G118,0)</f>
        <v>0</v>
      </c>
      <c r="I118" s="195">
        <f>IF(1-H118&lt;0,0,1-H118)</f>
        <v>1</v>
      </c>
      <c r="J118" t="str">
        <f>IF(G118&gt;I35,G118-I35,"--")</f>
        <v>--</v>
      </c>
    </row>
    <row r="119" spans="7:10" x14ac:dyDescent="0.3">
      <c r="G119" s="29">
        <f>$F$72*D20</f>
        <v>0</v>
      </c>
      <c r="H119" s="195">
        <f t="shared" ref="H119:H130" si="25">IFERROR(I36/G119,0)</f>
        <v>0</v>
      </c>
      <c r="I119" s="195">
        <f t="shared" ref="I119:I130" si="26">IF(1-H119&lt;0,0,1-H119)</f>
        <v>1</v>
      </c>
      <c r="J119" t="str">
        <f t="shared" ref="J119:J130" si="27">IF(G119&gt;I36,G119-I36,"--")</f>
        <v>--</v>
      </c>
    </row>
    <row r="120" spans="7:10" x14ac:dyDescent="0.3">
      <c r="G120" s="29">
        <f>$F$72*D21</f>
        <v>0</v>
      </c>
      <c r="H120" s="195">
        <f t="shared" si="25"/>
        <v>0</v>
      </c>
      <c r="I120" s="195">
        <f t="shared" si="26"/>
        <v>1</v>
      </c>
      <c r="J120" t="str">
        <f t="shared" si="27"/>
        <v>--</v>
      </c>
    </row>
    <row r="121" spans="7:10" x14ac:dyDescent="0.3">
      <c r="G121" s="29">
        <f>$F$72*D22</f>
        <v>0</v>
      </c>
      <c r="H121" s="195">
        <f t="shared" si="25"/>
        <v>0</v>
      </c>
      <c r="I121" s="195">
        <f t="shared" si="26"/>
        <v>1</v>
      </c>
      <c r="J121" t="str">
        <f t="shared" si="27"/>
        <v>--</v>
      </c>
    </row>
    <row r="122" spans="7:10" x14ac:dyDescent="0.3">
      <c r="G122" s="29">
        <f>$F$72*D23</f>
        <v>0</v>
      </c>
      <c r="H122" s="195">
        <f t="shared" si="25"/>
        <v>0</v>
      </c>
      <c r="I122" s="195">
        <f t="shared" si="26"/>
        <v>1</v>
      </c>
      <c r="J122" t="str">
        <f t="shared" si="27"/>
        <v>--</v>
      </c>
    </row>
    <row r="123" spans="7:10" x14ac:dyDescent="0.3">
      <c r="G123" s="29">
        <f>$F$72*D24</f>
        <v>0</v>
      </c>
      <c r="H123" s="195">
        <f t="shared" si="25"/>
        <v>0</v>
      </c>
      <c r="I123" s="195">
        <f t="shared" si="26"/>
        <v>1</v>
      </c>
      <c r="J123" t="str">
        <f t="shared" si="27"/>
        <v>--</v>
      </c>
    </row>
    <row r="124" spans="7:10" x14ac:dyDescent="0.3">
      <c r="G124" s="29">
        <f>$F$72*D25</f>
        <v>0</v>
      </c>
      <c r="H124" s="195">
        <f t="shared" si="25"/>
        <v>0</v>
      </c>
      <c r="I124" s="195">
        <f t="shared" si="26"/>
        <v>1</v>
      </c>
      <c r="J124" t="str">
        <f t="shared" si="27"/>
        <v>--</v>
      </c>
    </row>
    <row r="125" spans="7:10" x14ac:dyDescent="0.3">
      <c r="G125" s="29">
        <f>$F$72*D26</f>
        <v>0</v>
      </c>
      <c r="H125" s="195">
        <f t="shared" si="25"/>
        <v>0</v>
      </c>
      <c r="I125" s="195">
        <f t="shared" si="26"/>
        <v>1</v>
      </c>
      <c r="J125" t="str">
        <f t="shared" si="27"/>
        <v>--</v>
      </c>
    </row>
    <row r="126" spans="7:10" x14ac:dyDescent="0.3">
      <c r="G126" s="29">
        <f>$F$72*D27</f>
        <v>7.8803999999999998</v>
      </c>
      <c r="H126" s="195">
        <f t="shared" si="25"/>
        <v>0</v>
      </c>
      <c r="I126" s="195">
        <f t="shared" si="26"/>
        <v>1</v>
      </c>
      <c r="J126">
        <f t="shared" si="27"/>
        <v>7.8803999999999998</v>
      </c>
    </row>
    <row r="127" spans="7:10" x14ac:dyDescent="0.3">
      <c r="G127" s="29">
        <f>$F$72*D28</f>
        <v>16.643000000000001</v>
      </c>
      <c r="H127" s="195">
        <f t="shared" si="25"/>
        <v>0</v>
      </c>
      <c r="I127" s="195">
        <f t="shared" si="26"/>
        <v>1</v>
      </c>
      <c r="J127">
        <f t="shared" si="27"/>
        <v>16.643000000000001</v>
      </c>
    </row>
    <row r="128" spans="7:10" x14ac:dyDescent="0.3">
      <c r="G128" s="29">
        <f>$F$72*D29</f>
        <v>0</v>
      </c>
      <c r="H128" s="195">
        <f t="shared" si="25"/>
        <v>0</v>
      </c>
      <c r="I128" s="195">
        <f t="shared" si="26"/>
        <v>1</v>
      </c>
      <c r="J128" t="str">
        <f t="shared" si="27"/>
        <v>--</v>
      </c>
    </row>
    <row r="129" spans="7:10" x14ac:dyDescent="0.3">
      <c r="G129" s="29">
        <f>$F$72*D30</f>
        <v>0</v>
      </c>
      <c r="H129" s="195">
        <f t="shared" si="25"/>
        <v>0</v>
      </c>
      <c r="I129" s="195">
        <f t="shared" si="26"/>
        <v>1</v>
      </c>
      <c r="J129" t="str">
        <f t="shared" si="27"/>
        <v>--</v>
      </c>
    </row>
    <row r="130" spans="7:10" x14ac:dyDescent="0.3">
      <c r="G130" s="37">
        <f>$F$72*D31</f>
        <v>24.523400000000002</v>
      </c>
      <c r="H130" s="196">
        <f t="shared" si="25"/>
        <v>0</v>
      </c>
      <c r="I130" s="196">
        <f t="shared" si="26"/>
        <v>1</v>
      </c>
      <c r="J130">
        <f t="shared" si="27"/>
        <v>24.523400000000002</v>
      </c>
    </row>
  </sheetData>
  <phoneticPr fontId="16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A977-A10E-40CC-87AE-D5358858CC69}">
  <sheetPr codeName="Foglio1">
    <tabColor theme="4" tint="-0.499984740745262"/>
  </sheetPr>
  <dimension ref="B1:Y41"/>
  <sheetViews>
    <sheetView zoomScale="85" zoomScaleNormal="85" workbookViewId="0">
      <selection activeCell="E10" sqref="E10"/>
    </sheetView>
  </sheetViews>
  <sheetFormatPr defaultRowHeight="14.4" x14ac:dyDescent="0.3"/>
  <cols>
    <col min="1" max="1" width="6.88671875" style="19" customWidth="1"/>
    <col min="2" max="2" width="10" style="19" customWidth="1"/>
    <col min="3" max="3" width="23" style="19" customWidth="1"/>
    <col min="4" max="4" width="14.33203125" style="19" customWidth="1"/>
    <col min="5" max="6" width="12.33203125" style="19" customWidth="1"/>
    <col min="7" max="12" width="8.88671875" style="19"/>
    <col min="13" max="13" width="16.109375" style="19" bestFit="1" customWidth="1"/>
    <col min="14" max="14" width="8.88671875" style="19"/>
    <col min="15" max="15" width="25.109375" style="19" bestFit="1" customWidth="1"/>
    <col min="16" max="16" width="8.88671875" style="19"/>
    <col min="17" max="17" width="22.88671875" style="19" bestFit="1" customWidth="1"/>
    <col min="18" max="18" width="8.88671875" style="19"/>
    <col min="19" max="19" width="19.33203125" style="19" bestFit="1" customWidth="1"/>
    <col min="20" max="20" width="8.88671875" style="19"/>
    <col min="21" max="21" width="13.88671875" style="19" bestFit="1" customWidth="1"/>
    <col min="22" max="22" width="11.21875" style="19" customWidth="1"/>
    <col min="23" max="23" width="8.88671875" style="19"/>
    <col min="24" max="24" width="13.109375" style="19" customWidth="1"/>
    <col min="25" max="25" width="10.6640625" style="19" customWidth="1"/>
    <col min="26" max="16384" width="8.88671875" style="19"/>
  </cols>
  <sheetData>
    <row r="1" spans="2:25" ht="15" thickBot="1" x14ac:dyDescent="0.35"/>
    <row r="2" spans="2:25" ht="16.2" customHeight="1" x14ac:dyDescent="0.3">
      <c r="B2" s="4"/>
      <c r="C2" s="5"/>
      <c r="D2" s="5"/>
      <c r="E2" s="5"/>
      <c r="F2" s="5"/>
      <c r="G2" s="6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2:25" ht="18" x14ac:dyDescent="0.3">
      <c r="B3" s="7"/>
      <c r="C3" s="182" t="s">
        <v>27</v>
      </c>
      <c r="D3" s="182"/>
      <c r="E3" s="182"/>
      <c r="F3" s="182"/>
      <c r="G3" s="8"/>
    </row>
    <row r="4" spans="2:25" ht="13.2" customHeight="1" x14ac:dyDescent="0.3">
      <c r="B4" s="7"/>
      <c r="C4" s="9"/>
      <c r="D4" s="9"/>
      <c r="E4" s="9"/>
      <c r="F4" s="9"/>
      <c r="G4" s="8"/>
    </row>
    <row r="5" spans="2:25" x14ac:dyDescent="0.3">
      <c r="B5" s="7"/>
      <c r="C5" s="180" t="s">
        <v>26</v>
      </c>
      <c r="D5" s="180"/>
      <c r="E5" s="183">
        <v>2025</v>
      </c>
      <c r="F5" s="183"/>
      <c r="G5" s="8"/>
      <c r="M5" s="17" t="s">
        <v>33</v>
      </c>
      <c r="N5" s="21"/>
      <c r="O5" s="17" t="s">
        <v>34</v>
      </c>
      <c r="P5" s="21"/>
      <c r="Q5" s="17" t="s">
        <v>35</v>
      </c>
      <c r="R5" s="21"/>
      <c r="S5" s="17" t="s">
        <v>36</v>
      </c>
      <c r="T5" s="21"/>
      <c r="U5" s="17" t="s">
        <v>37</v>
      </c>
      <c r="V5" s="18" t="s">
        <v>38</v>
      </c>
      <c r="X5" s="63" t="s">
        <v>166</v>
      </c>
      <c r="Y5" s="63" t="s">
        <v>171</v>
      </c>
    </row>
    <row r="6" spans="2:25" x14ac:dyDescent="0.3">
      <c r="B6" s="7"/>
      <c r="C6" s="9"/>
      <c r="D6" s="9"/>
      <c r="E6" s="9"/>
      <c r="F6" s="9"/>
      <c r="G6" s="8"/>
      <c r="M6" s="17" t="s">
        <v>39</v>
      </c>
      <c r="N6" s="21"/>
      <c r="O6" s="17" t="s">
        <v>40</v>
      </c>
      <c r="P6" s="21"/>
      <c r="Q6" s="17" t="s">
        <v>41</v>
      </c>
      <c r="R6" s="21"/>
      <c r="S6" s="17" t="s">
        <v>42</v>
      </c>
      <c r="T6" s="21"/>
      <c r="U6" s="17" t="s">
        <v>5</v>
      </c>
      <c r="V6" s="18">
        <v>1</v>
      </c>
      <c r="X6" s="64" t="s">
        <v>152</v>
      </c>
      <c r="Y6" s="64" t="s">
        <v>167</v>
      </c>
    </row>
    <row r="7" spans="2:25" ht="15.6" customHeight="1" x14ac:dyDescent="0.3">
      <c r="B7" s="10"/>
      <c r="C7" s="180" t="s">
        <v>188</v>
      </c>
      <c r="D7" s="180"/>
      <c r="E7" s="184">
        <f>CARTE!H20</f>
        <v>1269.8399999999999</v>
      </c>
      <c r="F7" s="184"/>
      <c r="G7" s="11"/>
      <c r="M7" s="17" t="s">
        <v>246</v>
      </c>
      <c r="N7" s="21"/>
      <c r="O7" s="17" t="s">
        <v>44</v>
      </c>
      <c r="P7" s="21"/>
      <c r="Q7" s="17" t="s">
        <v>47</v>
      </c>
      <c r="R7" s="21"/>
      <c r="S7" s="17" t="s">
        <v>48</v>
      </c>
      <c r="T7" s="21"/>
      <c r="U7" s="17" t="s">
        <v>6</v>
      </c>
      <c r="V7" s="18">
        <v>2</v>
      </c>
      <c r="X7" s="64" t="s">
        <v>153</v>
      </c>
      <c r="Y7" s="64" t="s">
        <v>168</v>
      </c>
    </row>
    <row r="8" spans="2:25" x14ac:dyDescent="0.3">
      <c r="B8" s="7"/>
      <c r="C8" s="9"/>
      <c r="D8" s="9"/>
      <c r="E8" s="9"/>
      <c r="F8" s="9"/>
      <c r="G8" s="8"/>
      <c r="M8" s="17" t="s">
        <v>43</v>
      </c>
      <c r="N8" s="21"/>
      <c r="O8" s="17" t="s">
        <v>46</v>
      </c>
      <c r="P8" s="21"/>
      <c r="Q8" s="17" t="s">
        <v>282</v>
      </c>
      <c r="R8" s="21"/>
      <c r="S8" s="17" t="s">
        <v>51</v>
      </c>
      <c r="T8" s="21"/>
      <c r="U8" s="17" t="s">
        <v>8</v>
      </c>
      <c r="V8" s="18">
        <v>3</v>
      </c>
      <c r="X8" s="64" t="s">
        <v>154</v>
      </c>
      <c r="Y8" s="64" t="s">
        <v>251</v>
      </c>
    </row>
    <row r="9" spans="2:25" x14ac:dyDescent="0.3">
      <c r="B9" s="7"/>
      <c r="C9" s="180" t="s">
        <v>24</v>
      </c>
      <c r="D9" s="180"/>
      <c r="E9" s="181">
        <f>CARTE!H41</f>
        <v>0</v>
      </c>
      <c r="F9" s="181"/>
      <c r="G9" s="8"/>
      <c r="M9" s="17" t="s">
        <v>45</v>
      </c>
      <c r="N9" s="21"/>
      <c r="O9" s="17" t="s">
        <v>105</v>
      </c>
      <c r="P9" s="21"/>
      <c r="Q9" s="17" t="s">
        <v>162</v>
      </c>
      <c r="R9" s="21"/>
      <c r="S9" s="17" t="s">
        <v>54</v>
      </c>
      <c r="T9" s="21"/>
      <c r="U9" s="17" t="s">
        <v>9</v>
      </c>
      <c r="V9" s="18">
        <v>4</v>
      </c>
      <c r="X9" s="64" t="s">
        <v>155</v>
      </c>
      <c r="Y9" s="64" t="s">
        <v>169</v>
      </c>
    </row>
    <row r="10" spans="2:25" x14ac:dyDescent="0.3">
      <c r="B10" s="7"/>
      <c r="C10" s="9"/>
      <c r="D10" s="9"/>
      <c r="E10" s="9"/>
      <c r="F10" s="9"/>
      <c r="G10" s="8"/>
      <c r="M10" s="17" t="s">
        <v>143</v>
      </c>
      <c r="N10" s="21"/>
      <c r="O10" s="17" t="s">
        <v>52</v>
      </c>
      <c r="P10" s="21"/>
      <c r="Q10" s="17" t="s">
        <v>50</v>
      </c>
      <c r="R10" s="21"/>
      <c r="S10" s="17" t="s">
        <v>58</v>
      </c>
      <c r="T10" s="21"/>
      <c r="U10" s="17" t="s">
        <v>10</v>
      </c>
      <c r="V10" s="18">
        <v>5</v>
      </c>
      <c r="X10" s="64" t="s">
        <v>156</v>
      </c>
      <c r="Y10" s="64" t="s">
        <v>170</v>
      </c>
    </row>
    <row r="11" spans="2:25" x14ac:dyDescent="0.3">
      <c r="B11" s="7"/>
      <c r="C11" s="180" t="s">
        <v>25</v>
      </c>
      <c r="D11" s="180"/>
      <c r="E11" s="181">
        <v>0</v>
      </c>
      <c r="F11" s="181"/>
      <c r="G11" s="8"/>
      <c r="M11" s="17" t="s">
        <v>250</v>
      </c>
      <c r="N11" s="21"/>
      <c r="O11" s="17" t="s">
        <v>55</v>
      </c>
      <c r="P11" s="21"/>
      <c r="Q11" s="17" t="s">
        <v>53</v>
      </c>
      <c r="R11" s="21"/>
      <c r="S11" s="17" t="s">
        <v>61</v>
      </c>
      <c r="T11" s="21"/>
      <c r="U11" s="17" t="s">
        <v>11</v>
      </c>
      <c r="V11" s="18">
        <v>6</v>
      </c>
      <c r="X11" s="65" t="s">
        <v>49</v>
      </c>
      <c r="Y11" s="65" t="s">
        <v>49</v>
      </c>
    </row>
    <row r="12" spans="2:25" x14ac:dyDescent="0.3">
      <c r="B12" s="7"/>
      <c r="C12" s="9"/>
      <c r="D12" s="9"/>
      <c r="E12" s="9"/>
      <c r="F12" s="9"/>
      <c r="G12" s="8"/>
      <c r="M12" s="17" t="s">
        <v>49</v>
      </c>
      <c r="N12" s="21"/>
      <c r="O12" s="17" t="s">
        <v>57</v>
      </c>
      <c r="P12" s="21"/>
      <c r="Q12" s="17" t="s">
        <v>49</v>
      </c>
      <c r="R12" s="21"/>
      <c r="S12" s="17" t="s">
        <v>49</v>
      </c>
      <c r="T12" s="21"/>
      <c r="U12" s="17" t="s">
        <v>12</v>
      </c>
      <c r="V12" s="18">
        <v>7</v>
      </c>
    </row>
    <row r="13" spans="2:25" ht="15" thickBot="1" x14ac:dyDescent="0.35">
      <c r="B13" s="12"/>
      <c r="C13" s="13"/>
      <c r="D13" s="13"/>
      <c r="E13" s="13"/>
      <c r="F13" s="13"/>
      <c r="G13" s="14"/>
      <c r="N13" s="21"/>
      <c r="O13" s="17" t="s">
        <v>60</v>
      </c>
      <c r="P13" s="21"/>
      <c r="Q13" s="21"/>
      <c r="R13" s="21"/>
      <c r="S13" s="21"/>
      <c r="T13" s="21"/>
      <c r="U13" s="17" t="s">
        <v>13</v>
      </c>
      <c r="V13" s="18">
        <v>8</v>
      </c>
    </row>
    <row r="14" spans="2:25" x14ac:dyDescent="0.3">
      <c r="M14" s="17" t="s">
        <v>56</v>
      </c>
      <c r="N14" s="21"/>
      <c r="O14" s="17" t="s">
        <v>63</v>
      </c>
      <c r="P14" s="21"/>
      <c r="Q14" s="21"/>
      <c r="R14" s="21"/>
      <c r="S14" s="21"/>
      <c r="T14" s="21"/>
      <c r="U14" s="17" t="s">
        <v>14</v>
      </c>
      <c r="V14" s="18">
        <v>9</v>
      </c>
      <c r="X14" s="66" t="s">
        <v>172</v>
      </c>
    </row>
    <row r="15" spans="2:25" ht="15" thickBot="1" x14ac:dyDescent="0.35">
      <c r="C15" s="22"/>
      <c r="M15" s="17" t="s">
        <v>59</v>
      </c>
      <c r="N15" s="21"/>
      <c r="O15" s="17" t="s">
        <v>65</v>
      </c>
      <c r="P15" s="21"/>
      <c r="Q15" s="21"/>
      <c r="R15" s="21"/>
      <c r="S15" s="17" t="s">
        <v>62</v>
      </c>
      <c r="T15" s="21"/>
      <c r="U15" s="17" t="s">
        <v>15</v>
      </c>
      <c r="V15" s="18">
        <v>10</v>
      </c>
      <c r="X15" s="66" t="s">
        <v>178</v>
      </c>
    </row>
    <row r="16" spans="2:25" x14ac:dyDescent="0.3">
      <c r="B16" s="4"/>
      <c r="C16" s="5"/>
      <c r="D16" s="5"/>
      <c r="E16" s="5"/>
      <c r="F16" s="5"/>
      <c r="G16" s="6"/>
      <c r="M16" s="17" t="s">
        <v>62</v>
      </c>
      <c r="N16" s="21"/>
      <c r="O16" s="17" t="s">
        <v>49</v>
      </c>
      <c r="P16" s="21"/>
      <c r="Q16" s="21"/>
      <c r="R16" s="21"/>
      <c r="S16" s="17" t="s">
        <v>69</v>
      </c>
      <c r="T16" s="21"/>
      <c r="U16" s="17" t="s">
        <v>16</v>
      </c>
      <c r="V16" s="18">
        <v>11</v>
      </c>
      <c r="X16" s="66" t="s">
        <v>177</v>
      </c>
    </row>
    <row r="17" spans="2:24" ht="18" x14ac:dyDescent="0.3">
      <c r="B17" s="7"/>
      <c r="C17" s="182" t="s">
        <v>32</v>
      </c>
      <c r="D17" s="182"/>
      <c r="E17" s="182"/>
      <c r="F17" s="182"/>
      <c r="G17" s="8"/>
      <c r="M17" s="17" t="s">
        <v>64</v>
      </c>
      <c r="N17" s="21"/>
      <c r="O17" s="21"/>
      <c r="P17" s="21"/>
      <c r="Q17" s="21"/>
      <c r="R17" s="21"/>
      <c r="S17" s="17" t="s">
        <v>51</v>
      </c>
      <c r="T17" s="21"/>
      <c r="U17" s="17" t="s">
        <v>7</v>
      </c>
      <c r="V17" s="18">
        <v>12</v>
      </c>
      <c r="X17" s="19" t="s">
        <v>111</v>
      </c>
    </row>
    <row r="18" spans="2:24" x14ac:dyDescent="0.3">
      <c r="B18" s="7"/>
      <c r="C18" s="9"/>
      <c r="D18" s="9"/>
      <c r="E18" s="9"/>
      <c r="F18" s="9"/>
      <c r="G18" s="8"/>
      <c r="M18" s="17" t="s">
        <v>34</v>
      </c>
      <c r="N18" s="21"/>
      <c r="O18" s="21"/>
      <c r="P18" s="21"/>
      <c r="Q18" s="17" t="s">
        <v>67</v>
      </c>
      <c r="R18" s="21"/>
      <c r="S18" s="17" t="s">
        <v>73</v>
      </c>
      <c r="T18" s="21"/>
      <c r="U18" s="21"/>
      <c r="V18" s="21"/>
    </row>
    <row r="19" spans="2:24" x14ac:dyDescent="0.3">
      <c r="B19" s="7"/>
      <c r="C19" s="180" t="s">
        <v>28</v>
      </c>
      <c r="D19" s="180"/>
      <c r="E19" s="186">
        <v>0.5</v>
      </c>
      <c r="F19" s="186"/>
      <c r="G19" s="8"/>
      <c r="M19" s="17" t="s">
        <v>66</v>
      </c>
      <c r="N19" s="21"/>
      <c r="O19" s="21"/>
      <c r="P19" s="21"/>
      <c r="Q19" s="17" t="s">
        <v>68</v>
      </c>
      <c r="R19" s="21"/>
      <c r="S19" s="17" t="s">
        <v>49</v>
      </c>
      <c r="T19" s="21"/>
      <c r="U19" s="17" t="s">
        <v>93</v>
      </c>
      <c r="V19" s="18" t="s">
        <v>38</v>
      </c>
    </row>
    <row r="20" spans="2:24" x14ac:dyDescent="0.3">
      <c r="B20" s="7"/>
      <c r="C20" s="9"/>
      <c r="D20" s="9"/>
      <c r="E20" s="9"/>
      <c r="F20" s="9"/>
      <c r="G20" s="8"/>
      <c r="M20" s="17" t="s">
        <v>36</v>
      </c>
      <c r="N20" s="21"/>
      <c r="O20" s="17" t="s">
        <v>71</v>
      </c>
      <c r="P20" s="21"/>
      <c r="Q20" s="17" t="s">
        <v>70</v>
      </c>
      <c r="R20" s="21"/>
      <c r="S20" s="21"/>
      <c r="T20" s="21"/>
      <c r="U20" s="17" t="s">
        <v>95</v>
      </c>
      <c r="V20" s="18">
        <v>1</v>
      </c>
    </row>
    <row r="21" spans="2:24" ht="14.4" customHeight="1" x14ac:dyDescent="0.3">
      <c r="B21" s="10"/>
      <c r="C21" s="180" t="s">
        <v>29</v>
      </c>
      <c r="D21" s="180"/>
      <c r="E21" s="186">
        <v>0.3</v>
      </c>
      <c r="F21" s="186"/>
      <c r="G21" s="11"/>
      <c r="M21" s="17" t="s">
        <v>246</v>
      </c>
      <c r="N21" s="21"/>
      <c r="O21" s="17" t="s">
        <v>75</v>
      </c>
      <c r="P21" s="21"/>
      <c r="Q21" s="17" t="s">
        <v>72</v>
      </c>
      <c r="R21" s="21"/>
      <c r="S21" s="17" t="s">
        <v>66</v>
      </c>
      <c r="T21" s="21"/>
      <c r="U21" s="17" t="s">
        <v>97</v>
      </c>
      <c r="V21" s="18">
        <v>2</v>
      </c>
    </row>
    <row r="22" spans="2:24" x14ac:dyDescent="0.3">
      <c r="B22" s="7"/>
      <c r="C22" s="9"/>
      <c r="D22" s="9"/>
      <c r="E22" s="9"/>
      <c r="F22" s="9"/>
      <c r="G22" s="8"/>
      <c r="M22" s="17" t="s">
        <v>67</v>
      </c>
      <c r="N22" s="21"/>
      <c r="O22" s="17" t="s">
        <v>76</v>
      </c>
      <c r="P22" s="21"/>
      <c r="Q22" s="17" t="s">
        <v>49</v>
      </c>
      <c r="R22" s="21"/>
      <c r="S22" s="17" t="s">
        <v>78</v>
      </c>
      <c r="T22" s="21"/>
      <c r="U22" s="17" t="s">
        <v>99</v>
      </c>
      <c r="V22" s="18">
        <v>3</v>
      </c>
    </row>
    <row r="23" spans="2:24" x14ac:dyDescent="0.3">
      <c r="B23" s="7"/>
      <c r="C23" s="180" t="s">
        <v>30</v>
      </c>
      <c r="D23" s="180"/>
      <c r="E23" s="185">
        <v>0.19</v>
      </c>
      <c r="F23" s="185"/>
      <c r="G23" s="8"/>
      <c r="M23" s="17" t="s">
        <v>35</v>
      </c>
      <c r="N23" s="21"/>
      <c r="O23" s="17" t="s">
        <v>77</v>
      </c>
      <c r="P23" s="21"/>
      <c r="Q23" s="21"/>
      <c r="R23" s="21"/>
      <c r="S23" s="17" t="s">
        <v>81</v>
      </c>
      <c r="T23" s="21"/>
      <c r="U23" s="17" t="s">
        <v>101</v>
      </c>
      <c r="V23" s="18">
        <v>4</v>
      </c>
    </row>
    <row r="24" spans="2:24" x14ac:dyDescent="0.3">
      <c r="B24" s="7"/>
      <c r="C24" s="9"/>
      <c r="D24" s="9"/>
      <c r="E24" s="9"/>
      <c r="F24" s="9"/>
      <c r="G24" s="8"/>
      <c r="M24" s="17" t="s">
        <v>74</v>
      </c>
      <c r="N24" s="21"/>
      <c r="O24" s="17" t="s">
        <v>190</v>
      </c>
      <c r="P24" s="21"/>
      <c r="Q24" s="21"/>
      <c r="R24" s="21"/>
      <c r="S24" s="21"/>
      <c r="T24" s="21"/>
      <c r="U24" s="17" t="s">
        <v>102</v>
      </c>
      <c r="V24" s="18">
        <v>5</v>
      </c>
    </row>
    <row r="25" spans="2:24" x14ac:dyDescent="0.3">
      <c r="B25" s="7"/>
      <c r="C25" s="180" t="s">
        <v>31</v>
      </c>
      <c r="D25" s="180"/>
      <c r="E25" s="185">
        <v>0.01</v>
      </c>
      <c r="F25" s="185"/>
      <c r="G25" s="8"/>
      <c r="M25" s="17" t="s">
        <v>71</v>
      </c>
      <c r="N25" s="21"/>
      <c r="O25" s="17" t="s">
        <v>79</v>
      </c>
      <c r="P25" s="21"/>
      <c r="Q25" s="17" t="s">
        <v>74</v>
      </c>
      <c r="R25" s="21"/>
      <c r="S25" s="21"/>
      <c r="T25" s="21"/>
      <c r="U25" s="17" t="s">
        <v>103</v>
      </c>
      <c r="V25" s="18">
        <v>6</v>
      </c>
    </row>
    <row r="26" spans="2:24" x14ac:dyDescent="0.3">
      <c r="B26" s="7"/>
      <c r="C26" s="9"/>
      <c r="D26" s="9"/>
      <c r="E26" s="9"/>
      <c r="F26" s="9"/>
      <c r="G26" s="8"/>
      <c r="M26" s="17" t="s">
        <v>49</v>
      </c>
      <c r="N26" s="21"/>
      <c r="O26" s="17" t="s">
        <v>231</v>
      </c>
      <c r="P26" s="21"/>
      <c r="Q26" s="17" t="s">
        <v>80</v>
      </c>
      <c r="R26" s="21"/>
      <c r="S26" s="21"/>
      <c r="T26" s="21"/>
      <c r="U26" s="21"/>
      <c r="V26" s="21"/>
    </row>
    <row r="27" spans="2:24" ht="15" thickBot="1" x14ac:dyDescent="0.35">
      <c r="B27" s="12"/>
      <c r="C27" s="13"/>
      <c r="D27" s="13"/>
      <c r="E27" s="13"/>
      <c r="F27" s="13"/>
      <c r="G27" s="14"/>
      <c r="N27" s="21"/>
      <c r="O27" s="17" t="s">
        <v>82</v>
      </c>
      <c r="P27" s="21"/>
      <c r="Q27" s="17" t="s">
        <v>83</v>
      </c>
      <c r="R27" s="21"/>
      <c r="S27" s="21"/>
      <c r="T27" s="21"/>
      <c r="U27" s="21"/>
      <c r="V27" s="21"/>
    </row>
    <row r="28" spans="2:24" x14ac:dyDescent="0.3">
      <c r="M28" s="17" t="s">
        <v>45</v>
      </c>
      <c r="N28" s="21"/>
      <c r="O28" s="17" t="s">
        <v>49</v>
      </c>
      <c r="P28" s="21"/>
      <c r="Q28" s="17" t="s">
        <v>84</v>
      </c>
      <c r="R28" s="21"/>
      <c r="S28" s="21"/>
      <c r="T28" s="21"/>
      <c r="U28" s="38" t="s">
        <v>38</v>
      </c>
      <c r="V28" s="17" t="s">
        <v>37</v>
      </c>
    </row>
    <row r="29" spans="2:24" x14ac:dyDescent="0.3">
      <c r="E29" s="23"/>
      <c r="M29" s="17" t="s">
        <v>87</v>
      </c>
      <c r="N29" s="21"/>
      <c r="O29" s="21"/>
      <c r="P29" s="21"/>
      <c r="Q29" s="17" t="s">
        <v>85</v>
      </c>
      <c r="R29" s="21"/>
      <c r="S29" s="21"/>
      <c r="T29" s="21"/>
      <c r="U29" s="38">
        <v>1</v>
      </c>
      <c r="V29" s="17" t="s">
        <v>125</v>
      </c>
    </row>
    <row r="30" spans="2:24" x14ac:dyDescent="0.3">
      <c r="M30" s="17" t="s">
        <v>88</v>
      </c>
      <c r="N30" s="21"/>
      <c r="O30" s="17" t="s">
        <v>59</v>
      </c>
      <c r="P30" s="21"/>
      <c r="Q30" s="17" t="s">
        <v>86</v>
      </c>
      <c r="R30" s="21"/>
      <c r="S30" s="21"/>
      <c r="T30" s="21"/>
      <c r="U30" s="38">
        <v>2</v>
      </c>
      <c r="V30" s="17" t="s">
        <v>124</v>
      </c>
    </row>
    <row r="31" spans="2:24" x14ac:dyDescent="0.3">
      <c r="N31" s="21"/>
      <c r="O31" s="17" t="s">
        <v>89</v>
      </c>
      <c r="P31" s="21"/>
      <c r="Q31" s="17" t="s">
        <v>49</v>
      </c>
      <c r="R31" s="21"/>
      <c r="S31" s="21"/>
      <c r="T31" s="21"/>
      <c r="U31" s="38">
        <v>3</v>
      </c>
      <c r="V31" s="17" t="s">
        <v>126</v>
      </c>
    </row>
    <row r="32" spans="2:24" x14ac:dyDescent="0.3">
      <c r="N32" s="21"/>
      <c r="O32" s="17" t="s">
        <v>90</v>
      </c>
      <c r="P32" s="21"/>
      <c r="Q32" s="21"/>
      <c r="R32" s="21"/>
      <c r="S32" s="21"/>
      <c r="T32" s="21"/>
      <c r="U32" s="38">
        <v>4</v>
      </c>
      <c r="V32" s="17" t="s">
        <v>127</v>
      </c>
    </row>
    <row r="33" spans="13:22" x14ac:dyDescent="0.3">
      <c r="M33" s="17" t="s">
        <v>246</v>
      </c>
      <c r="N33" s="21"/>
      <c r="O33" s="17" t="s">
        <v>91</v>
      </c>
      <c r="P33" s="21"/>
      <c r="Q33" s="21"/>
      <c r="R33" s="21"/>
      <c r="S33" s="21"/>
      <c r="T33" s="21"/>
      <c r="U33" s="38">
        <v>5</v>
      </c>
      <c r="V33" s="17" t="s">
        <v>128</v>
      </c>
    </row>
    <row r="34" spans="13:22" x14ac:dyDescent="0.3">
      <c r="M34" s="17" t="s">
        <v>248</v>
      </c>
      <c r="N34" s="21"/>
      <c r="O34" s="17" t="s">
        <v>270</v>
      </c>
      <c r="P34" s="21"/>
      <c r="Q34" s="17" t="s">
        <v>64</v>
      </c>
      <c r="R34" s="21"/>
      <c r="S34" s="21"/>
      <c r="T34" s="21"/>
      <c r="U34" s="38">
        <v>6</v>
      </c>
      <c r="V34" s="17" t="s">
        <v>129</v>
      </c>
    </row>
    <row r="35" spans="13:22" x14ac:dyDescent="0.3">
      <c r="M35" s="17" t="s">
        <v>49</v>
      </c>
      <c r="N35" s="21"/>
      <c r="O35" s="17" t="s">
        <v>49</v>
      </c>
      <c r="P35" s="21"/>
      <c r="Q35" s="17" t="s">
        <v>92</v>
      </c>
      <c r="R35" s="21"/>
      <c r="S35" s="21"/>
      <c r="T35" s="21"/>
      <c r="U35" s="39">
        <v>7</v>
      </c>
      <c r="V35" s="17" t="s">
        <v>130</v>
      </c>
    </row>
    <row r="36" spans="13:22" x14ac:dyDescent="0.3">
      <c r="M36" s="21"/>
      <c r="N36" s="21"/>
      <c r="O36" s="21"/>
      <c r="P36" s="21"/>
      <c r="Q36" s="17" t="s">
        <v>94</v>
      </c>
      <c r="R36" s="21"/>
      <c r="S36" s="21"/>
      <c r="T36" s="21"/>
      <c r="U36" s="39">
        <v>8</v>
      </c>
      <c r="V36" s="17" t="s">
        <v>131</v>
      </c>
    </row>
    <row r="37" spans="13:22" x14ac:dyDescent="0.3">
      <c r="M37" s="21"/>
      <c r="N37" s="21"/>
      <c r="O37" s="21"/>
      <c r="P37" s="21"/>
      <c r="Q37" s="17" t="s">
        <v>96</v>
      </c>
      <c r="R37" s="21"/>
      <c r="S37" s="21"/>
      <c r="T37" s="21"/>
      <c r="U37" s="39">
        <v>9</v>
      </c>
      <c r="V37" s="17" t="s">
        <v>132</v>
      </c>
    </row>
    <row r="38" spans="13:22" x14ac:dyDescent="0.3">
      <c r="M38" s="21"/>
      <c r="N38" s="21"/>
      <c r="O38" s="21"/>
      <c r="P38" s="21"/>
      <c r="Q38" s="17" t="s">
        <v>98</v>
      </c>
      <c r="R38" s="21"/>
      <c r="S38" s="21"/>
      <c r="T38" s="21"/>
      <c r="U38" s="39">
        <v>10</v>
      </c>
      <c r="V38" s="17" t="s">
        <v>133</v>
      </c>
    </row>
    <row r="39" spans="13:22" x14ac:dyDescent="0.3">
      <c r="M39" s="21"/>
      <c r="N39" s="21"/>
      <c r="O39" s="21"/>
      <c r="P39" s="21"/>
      <c r="Q39" s="17" t="s">
        <v>100</v>
      </c>
      <c r="R39" s="21"/>
      <c r="T39" s="21"/>
      <c r="U39" s="39">
        <v>11</v>
      </c>
      <c r="V39" s="17" t="s">
        <v>134</v>
      </c>
    </row>
    <row r="40" spans="13:22" x14ac:dyDescent="0.3">
      <c r="M40" s="21"/>
      <c r="N40" s="21"/>
      <c r="O40" s="21"/>
      <c r="P40" s="21"/>
      <c r="Q40" s="17" t="s">
        <v>49</v>
      </c>
      <c r="R40" s="21"/>
      <c r="T40" s="21"/>
      <c r="U40" s="39">
        <v>12</v>
      </c>
      <c r="V40" s="17" t="s">
        <v>135</v>
      </c>
    </row>
    <row r="41" spans="13:22" x14ac:dyDescent="0.3">
      <c r="Q41" s="21"/>
    </row>
  </sheetData>
  <sheetProtection formatCells="0" formatColumns="0" formatRows="0" insertColumns="0" insertRows="0" insertHyperlinks="0" deleteColumns="0" deleteRows="0" sort="0" autoFilter="0" pivotTables="0"/>
  <mergeCells count="18">
    <mergeCell ref="C23:D23"/>
    <mergeCell ref="E23:F23"/>
    <mergeCell ref="C25:D25"/>
    <mergeCell ref="E25:F25"/>
    <mergeCell ref="C17:F17"/>
    <mergeCell ref="C19:D19"/>
    <mergeCell ref="E19:F19"/>
    <mergeCell ref="C21:D21"/>
    <mergeCell ref="E21:F21"/>
    <mergeCell ref="C9:D9"/>
    <mergeCell ref="C11:D11"/>
    <mergeCell ref="E9:F9"/>
    <mergeCell ref="E11:F11"/>
    <mergeCell ref="C3:F3"/>
    <mergeCell ref="E5:F5"/>
    <mergeCell ref="C5:D5"/>
    <mergeCell ref="C7:D7"/>
    <mergeCell ref="E7:F7"/>
  </mergeCells>
  <phoneticPr fontId="16" type="noConversion"/>
  <pageMargins left="0.7" right="0.7" top="0.75" bottom="0.75" header="0.3" footer="0.3"/>
  <ignoredErrors>
    <ignoredError sqref="E7" unlockedFormula="1"/>
  </ignoredErrors>
  <drawing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28DB7-E424-4EED-9140-F4538849CB78}">
  <sheetPr codeName="Foglio8">
    <tabColor rgb="FFC00000"/>
  </sheetPr>
  <dimension ref="A1:Y39"/>
  <sheetViews>
    <sheetView zoomScaleNormal="100" workbookViewId="0">
      <selection activeCell="R12" sqref="R12"/>
    </sheetView>
  </sheetViews>
  <sheetFormatPr defaultRowHeight="14.4" x14ac:dyDescent="0.3"/>
  <cols>
    <col min="1" max="1" width="27.77734375" style="2" bestFit="1" customWidth="1"/>
    <col min="2" max="2" width="19.88671875" style="2" bestFit="1" customWidth="1"/>
    <col min="3" max="3" width="8" style="2" bestFit="1" customWidth="1"/>
    <col min="4" max="4" width="6.21875" style="2" bestFit="1" customWidth="1"/>
    <col min="5" max="5" width="5.88671875" style="2" bestFit="1" customWidth="1"/>
    <col min="6" max="6" width="7" style="2" bestFit="1" customWidth="1"/>
    <col min="7" max="7" width="6.33203125" style="2" bestFit="1" customWidth="1"/>
    <col min="8" max="8" width="5.88671875" style="2" bestFit="1" customWidth="1"/>
    <col min="9" max="9" width="6.44140625" style="2" bestFit="1" customWidth="1"/>
    <col min="10" max="10" width="9.6640625" style="2" bestFit="1" customWidth="1"/>
    <col min="11" max="11" width="9.44140625" style="2" bestFit="1" customWidth="1"/>
    <col min="12" max="12" width="9.33203125" style="2" bestFit="1" customWidth="1"/>
    <col min="13" max="13" width="9.109375" style="2" bestFit="1" customWidth="1"/>
    <col min="14" max="14" width="17.21875" style="2" bestFit="1" customWidth="1"/>
    <col min="15" max="20" width="8.88671875" style="2"/>
    <col min="21" max="21" width="15.77734375" style="2" customWidth="1"/>
    <col min="22" max="22" width="17.109375" style="2" bestFit="1" customWidth="1"/>
    <col min="23" max="23" width="14" style="2" bestFit="1" customWidth="1"/>
    <col min="24" max="24" width="11.77734375" style="2" customWidth="1"/>
    <col min="25" max="16384" width="8.88671875" style="2"/>
  </cols>
  <sheetData>
    <row r="1" spans="1:2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25" x14ac:dyDescent="0.3">
      <c r="A2"/>
      <c r="B2"/>
      <c r="C2"/>
      <c r="D2"/>
      <c r="E2"/>
      <c r="F2"/>
      <c r="G2"/>
      <c r="H2"/>
      <c r="I2"/>
      <c r="J2"/>
      <c r="K2"/>
      <c r="L2"/>
      <c r="M2"/>
      <c r="N2"/>
      <c r="V2" s="34"/>
      <c r="W2" s="62"/>
      <c r="X2" s="62"/>
    </row>
    <row r="3" spans="1:25" x14ac:dyDescent="0.3">
      <c r="A3"/>
      <c r="B3"/>
      <c r="C3"/>
      <c r="D3"/>
      <c r="E3"/>
      <c r="F3"/>
      <c r="G3"/>
      <c r="H3"/>
      <c r="I3"/>
      <c r="J3"/>
      <c r="K3"/>
      <c r="L3"/>
      <c r="M3"/>
      <c r="N3"/>
      <c r="V3" s="34"/>
      <c r="W3" s="34"/>
      <c r="X3" s="34"/>
      <c r="Y3" s="34"/>
    </row>
    <row r="4" spans="1:25" x14ac:dyDescent="0.3">
      <c r="W4" s="30"/>
      <c r="X4" s="30"/>
      <c r="Y4" s="30"/>
    </row>
    <row r="5" spans="1:25" x14ac:dyDescent="0.3">
      <c r="W5" s="30"/>
      <c r="X5" s="30"/>
      <c r="Y5" s="30"/>
    </row>
    <row r="6" spans="1:25" x14ac:dyDescent="0.3">
      <c r="W6" s="30"/>
      <c r="X6" s="30"/>
      <c r="Y6" s="30"/>
    </row>
    <row r="7" spans="1:25" x14ac:dyDescent="0.3">
      <c r="A7" s="249" t="s">
        <v>253</v>
      </c>
      <c r="B7" s="249" t="s">
        <v>147</v>
      </c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204"/>
      <c r="N7" s="204"/>
      <c r="W7" s="30"/>
      <c r="X7" s="30"/>
      <c r="Y7" s="30"/>
    </row>
    <row r="8" spans="1:25" x14ac:dyDescent="0.3">
      <c r="A8" s="249" t="s">
        <v>144</v>
      </c>
      <c r="B8" s="204" t="s">
        <v>5</v>
      </c>
      <c r="C8" s="204" t="s">
        <v>6</v>
      </c>
      <c r="D8" s="204" t="s">
        <v>8</v>
      </c>
      <c r="E8" s="204" t="s">
        <v>9</v>
      </c>
      <c r="F8" s="204" t="s">
        <v>10</v>
      </c>
      <c r="G8" s="204" t="s">
        <v>11</v>
      </c>
      <c r="H8" s="204" t="s">
        <v>12</v>
      </c>
      <c r="I8" s="204" t="s">
        <v>13</v>
      </c>
      <c r="J8" s="204" t="s">
        <v>14</v>
      </c>
      <c r="K8" s="204" t="s">
        <v>15</v>
      </c>
      <c r="L8" s="204" t="s">
        <v>16</v>
      </c>
      <c r="M8" s="204" t="s">
        <v>7</v>
      </c>
      <c r="N8" s="204" t="s">
        <v>146</v>
      </c>
      <c r="W8" s="30"/>
      <c r="X8" s="30"/>
      <c r="Y8" s="30"/>
    </row>
    <row r="9" spans="1:25" x14ac:dyDescent="0.3">
      <c r="A9" s="210" t="s">
        <v>34</v>
      </c>
      <c r="B9" s="215" t="s">
        <v>148</v>
      </c>
      <c r="C9" s="215" t="s">
        <v>148</v>
      </c>
      <c r="D9" s="215" t="s">
        <v>148</v>
      </c>
      <c r="E9" s="215" t="s">
        <v>148</v>
      </c>
      <c r="F9" s="215" t="s">
        <v>148</v>
      </c>
      <c r="G9" s="215" t="s">
        <v>148</v>
      </c>
      <c r="H9" s="215" t="s">
        <v>148</v>
      </c>
      <c r="I9" s="215" t="s">
        <v>148</v>
      </c>
      <c r="J9" s="215" t="s">
        <v>148</v>
      </c>
      <c r="K9" s="215">
        <v>451.36</v>
      </c>
      <c r="L9" s="215" t="s">
        <v>148</v>
      </c>
      <c r="M9" s="215" t="s">
        <v>148</v>
      </c>
      <c r="N9" s="215">
        <v>451.36</v>
      </c>
      <c r="W9" s="30"/>
      <c r="X9" s="30"/>
      <c r="Y9" s="30"/>
    </row>
    <row r="10" spans="1:25" x14ac:dyDescent="0.3">
      <c r="A10" s="250" t="s">
        <v>52</v>
      </c>
      <c r="B10" s="215" t="s">
        <v>148</v>
      </c>
      <c r="C10" s="215" t="s">
        <v>148</v>
      </c>
      <c r="D10" s="215" t="s">
        <v>148</v>
      </c>
      <c r="E10" s="215" t="s">
        <v>148</v>
      </c>
      <c r="F10" s="215" t="s">
        <v>148</v>
      </c>
      <c r="G10" s="215" t="s">
        <v>148</v>
      </c>
      <c r="H10" s="215" t="s">
        <v>148</v>
      </c>
      <c r="I10" s="215" t="s">
        <v>148</v>
      </c>
      <c r="J10" s="215" t="s">
        <v>148</v>
      </c>
      <c r="K10" s="215">
        <v>451.36</v>
      </c>
      <c r="L10" s="215" t="s">
        <v>148</v>
      </c>
      <c r="M10" s="215" t="s">
        <v>148</v>
      </c>
      <c r="N10" s="215">
        <v>451.36</v>
      </c>
      <c r="W10" s="30"/>
      <c r="X10" s="30"/>
    </row>
    <row r="11" spans="1:25" x14ac:dyDescent="0.3">
      <c r="A11" s="210" t="s">
        <v>145</v>
      </c>
      <c r="B11" s="215">
        <v>0</v>
      </c>
      <c r="C11" s="215">
        <v>0</v>
      </c>
      <c r="D11" s="215">
        <v>0</v>
      </c>
      <c r="E11" s="215">
        <v>0</v>
      </c>
      <c r="F11" s="215">
        <v>0</v>
      </c>
      <c r="G11" s="215">
        <v>0</v>
      </c>
      <c r="H11" s="215">
        <v>0</v>
      </c>
      <c r="I11" s="215">
        <v>0</v>
      </c>
      <c r="J11" s="215">
        <v>0</v>
      </c>
      <c r="K11" s="215">
        <v>0</v>
      </c>
      <c r="L11" s="215">
        <v>0</v>
      </c>
      <c r="M11" s="215">
        <v>0</v>
      </c>
      <c r="N11" s="215">
        <v>0</v>
      </c>
      <c r="W11" s="30"/>
      <c r="X11" s="30"/>
    </row>
    <row r="12" spans="1:25" x14ac:dyDescent="0.3">
      <c r="A12" s="210" t="s">
        <v>64</v>
      </c>
      <c r="B12" s="215" t="s">
        <v>148</v>
      </c>
      <c r="C12" s="215" t="s">
        <v>148</v>
      </c>
      <c r="D12" s="215" t="s">
        <v>148</v>
      </c>
      <c r="E12" s="215" t="s">
        <v>148</v>
      </c>
      <c r="F12" s="215" t="s">
        <v>148</v>
      </c>
      <c r="G12" s="215" t="s">
        <v>148</v>
      </c>
      <c r="H12" s="215" t="s">
        <v>148</v>
      </c>
      <c r="I12" s="215" t="s">
        <v>148</v>
      </c>
      <c r="J12" s="215">
        <v>4.9000000000000004</v>
      </c>
      <c r="K12" s="215">
        <v>255.9</v>
      </c>
      <c r="L12" s="215" t="s">
        <v>148</v>
      </c>
      <c r="M12" s="215" t="s">
        <v>148</v>
      </c>
      <c r="N12" s="215">
        <v>260.8</v>
      </c>
      <c r="W12" s="30"/>
    </row>
    <row r="13" spans="1:25" x14ac:dyDescent="0.3">
      <c r="A13" s="250" t="s">
        <v>92</v>
      </c>
      <c r="B13" s="215" t="s">
        <v>148</v>
      </c>
      <c r="C13" s="215" t="s">
        <v>148</v>
      </c>
      <c r="D13" s="215" t="s">
        <v>148</v>
      </c>
      <c r="E13" s="215" t="s">
        <v>148</v>
      </c>
      <c r="F13" s="215" t="s">
        <v>148</v>
      </c>
      <c r="G13" s="215" t="s">
        <v>148</v>
      </c>
      <c r="H13" s="215" t="s">
        <v>148</v>
      </c>
      <c r="I13" s="215" t="s">
        <v>148</v>
      </c>
      <c r="J13" s="215">
        <v>3.9</v>
      </c>
      <c r="K13" s="215">
        <v>3.9</v>
      </c>
      <c r="L13" s="215" t="s">
        <v>148</v>
      </c>
      <c r="M13" s="215" t="s">
        <v>148</v>
      </c>
      <c r="N13" s="215">
        <v>7.8</v>
      </c>
      <c r="W13" s="30"/>
      <c r="X13" s="30"/>
    </row>
    <row r="14" spans="1:25" x14ac:dyDescent="0.3">
      <c r="A14" s="250" t="s">
        <v>96</v>
      </c>
      <c r="B14" s="215" t="s">
        <v>148</v>
      </c>
      <c r="C14" s="215" t="s">
        <v>148</v>
      </c>
      <c r="D14" s="215" t="s">
        <v>148</v>
      </c>
      <c r="E14" s="215" t="s">
        <v>148</v>
      </c>
      <c r="F14" s="215" t="s">
        <v>148</v>
      </c>
      <c r="G14" s="215" t="s">
        <v>148</v>
      </c>
      <c r="H14" s="215" t="s">
        <v>148</v>
      </c>
      <c r="I14" s="215" t="s">
        <v>148</v>
      </c>
      <c r="J14" s="215">
        <v>1</v>
      </c>
      <c r="K14" s="215">
        <v>2</v>
      </c>
      <c r="L14" s="215" t="s">
        <v>148</v>
      </c>
      <c r="M14" s="215" t="s">
        <v>148</v>
      </c>
      <c r="N14" s="215">
        <v>3</v>
      </c>
      <c r="O14" s="58"/>
      <c r="W14" s="30"/>
      <c r="X14" s="30"/>
    </row>
    <row r="15" spans="1:25" x14ac:dyDescent="0.3">
      <c r="A15" s="250" t="s">
        <v>98</v>
      </c>
      <c r="B15" s="215" t="s">
        <v>148</v>
      </c>
      <c r="C15" s="215" t="s">
        <v>148</v>
      </c>
      <c r="D15" s="215" t="s">
        <v>148</v>
      </c>
      <c r="E15" s="215" t="s">
        <v>148</v>
      </c>
      <c r="F15" s="215" t="s">
        <v>148</v>
      </c>
      <c r="G15" s="215" t="s">
        <v>148</v>
      </c>
      <c r="H15" s="215" t="s">
        <v>148</v>
      </c>
      <c r="I15" s="215" t="s">
        <v>148</v>
      </c>
      <c r="J15" s="215" t="s">
        <v>148</v>
      </c>
      <c r="K15" s="215">
        <v>250</v>
      </c>
      <c r="L15" s="215" t="s">
        <v>148</v>
      </c>
      <c r="M15" s="215" t="s">
        <v>148</v>
      </c>
      <c r="N15" s="215">
        <v>250</v>
      </c>
      <c r="O15" s="58"/>
      <c r="W15" s="30"/>
      <c r="X15" s="30"/>
    </row>
    <row r="16" spans="1:25" x14ac:dyDescent="0.3">
      <c r="A16" s="210" t="s">
        <v>35</v>
      </c>
      <c r="B16" s="215" t="s">
        <v>148</v>
      </c>
      <c r="C16" s="215" t="s">
        <v>148</v>
      </c>
      <c r="D16" s="215" t="s">
        <v>148</v>
      </c>
      <c r="E16" s="215" t="s">
        <v>148</v>
      </c>
      <c r="F16" s="215" t="s">
        <v>148</v>
      </c>
      <c r="G16" s="215" t="s">
        <v>148</v>
      </c>
      <c r="H16" s="215" t="s">
        <v>148</v>
      </c>
      <c r="I16" s="215" t="s">
        <v>148</v>
      </c>
      <c r="J16" s="215">
        <v>438.44</v>
      </c>
      <c r="K16" s="215">
        <v>102.67000000000002</v>
      </c>
      <c r="L16" s="215" t="s">
        <v>148</v>
      </c>
      <c r="M16" s="215" t="s">
        <v>148</v>
      </c>
      <c r="N16" s="215">
        <v>541.11</v>
      </c>
      <c r="O16" s="58"/>
    </row>
    <row r="17" spans="1:24" x14ac:dyDescent="0.3">
      <c r="A17" s="250" t="s">
        <v>53</v>
      </c>
      <c r="B17" s="215" t="s">
        <v>148</v>
      </c>
      <c r="C17" s="215" t="s">
        <v>148</v>
      </c>
      <c r="D17" s="215" t="s">
        <v>148</v>
      </c>
      <c r="E17" s="215" t="s">
        <v>148</v>
      </c>
      <c r="F17" s="215" t="s">
        <v>148</v>
      </c>
      <c r="G17" s="215" t="s">
        <v>148</v>
      </c>
      <c r="H17" s="215" t="s">
        <v>148</v>
      </c>
      <c r="I17" s="215" t="s">
        <v>148</v>
      </c>
      <c r="J17" s="215">
        <v>388.46</v>
      </c>
      <c r="K17" s="215" t="s">
        <v>148</v>
      </c>
      <c r="L17" s="215" t="s">
        <v>148</v>
      </c>
      <c r="M17" s="215" t="s">
        <v>148</v>
      </c>
      <c r="N17" s="215">
        <v>388.46</v>
      </c>
      <c r="O17" s="58"/>
      <c r="W17" s="59"/>
    </row>
    <row r="18" spans="1:24" x14ac:dyDescent="0.3">
      <c r="A18" s="250" t="s">
        <v>47</v>
      </c>
      <c r="B18" s="215" t="s">
        <v>148</v>
      </c>
      <c r="C18" s="215" t="s">
        <v>148</v>
      </c>
      <c r="D18" s="215" t="s">
        <v>148</v>
      </c>
      <c r="E18" s="215" t="s">
        <v>148</v>
      </c>
      <c r="F18" s="215" t="s">
        <v>148</v>
      </c>
      <c r="G18" s="215" t="s">
        <v>148</v>
      </c>
      <c r="H18" s="215" t="s">
        <v>148</v>
      </c>
      <c r="I18" s="215" t="s">
        <v>148</v>
      </c>
      <c r="J18" s="215" t="s">
        <v>148</v>
      </c>
      <c r="K18" s="215">
        <v>18.100000000000001</v>
      </c>
      <c r="L18" s="215" t="s">
        <v>148</v>
      </c>
      <c r="M18" s="215" t="s">
        <v>148</v>
      </c>
      <c r="N18" s="215">
        <v>18.100000000000001</v>
      </c>
      <c r="O18" s="58"/>
      <c r="V18" s="34"/>
      <c r="W18" s="57"/>
      <c r="X18" s="57"/>
    </row>
    <row r="19" spans="1:24" x14ac:dyDescent="0.3">
      <c r="A19" s="250" t="s">
        <v>282</v>
      </c>
      <c r="B19" s="215" t="s">
        <v>148</v>
      </c>
      <c r="C19" s="215" t="s">
        <v>148</v>
      </c>
      <c r="D19" s="215" t="s">
        <v>148</v>
      </c>
      <c r="E19" s="215" t="s">
        <v>148</v>
      </c>
      <c r="F19" s="215" t="s">
        <v>148</v>
      </c>
      <c r="G19" s="215" t="s">
        <v>148</v>
      </c>
      <c r="H19" s="215" t="s">
        <v>148</v>
      </c>
      <c r="I19" s="215" t="s">
        <v>148</v>
      </c>
      <c r="J19" s="215">
        <v>49.98</v>
      </c>
      <c r="K19" s="215">
        <v>84.570000000000007</v>
      </c>
      <c r="L19" s="215" t="s">
        <v>148</v>
      </c>
      <c r="M19" s="215" t="s">
        <v>148</v>
      </c>
      <c r="N19" s="215">
        <v>134.55000000000001</v>
      </c>
      <c r="O19" s="58"/>
      <c r="V19" s="34"/>
      <c r="W19" s="60"/>
      <c r="X19" s="57"/>
    </row>
    <row r="20" spans="1:24" x14ac:dyDescent="0.3">
      <c r="A20" s="210" t="s">
        <v>74</v>
      </c>
      <c r="B20" s="215" t="s">
        <v>148</v>
      </c>
      <c r="C20" s="215" t="s">
        <v>148</v>
      </c>
      <c r="D20" s="215" t="s">
        <v>148</v>
      </c>
      <c r="E20" s="215" t="s">
        <v>148</v>
      </c>
      <c r="F20" s="215" t="s">
        <v>148</v>
      </c>
      <c r="G20" s="215" t="s">
        <v>148</v>
      </c>
      <c r="H20" s="215" t="s">
        <v>148</v>
      </c>
      <c r="I20" s="215" t="s">
        <v>148</v>
      </c>
      <c r="J20" s="215">
        <v>485.28</v>
      </c>
      <c r="K20" s="215">
        <v>142.4</v>
      </c>
      <c r="L20" s="215" t="s">
        <v>148</v>
      </c>
      <c r="M20" s="215" t="s">
        <v>148</v>
      </c>
      <c r="N20" s="215">
        <v>627.68000000000006</v>
      </c>
      <c r="O20" s="58"/>
      <c r="V20" s="34"/>
      <c r="X20" s="61"/>
    </row>
    <row r="21" spans="1:24" x14ac:dyDescent="0.3">
      <c r="A21" s="250" t="s">
        <v>80</v>
      </c>
      <c r="B21" s="215" t="s">
        <v>148</v>
      </c>
      <c r="C21" s="215" t="s">
        <v>148</v>
      </c>
      <c r="D21" s="215" t="s">
        <v>148</v>
      </c>
      <c r="E21" s="215" t="s">
        <v>148</v>
      </c>
      <c r="F21" s="215" t="s">
        <v>148</v>
      </c>
      <c r="G21" s="215" t="s">
        <v>148</v>
      </c>
      <c r="H21" s="215" t="s">
        <v>148</v>
      </c>
      <c r="I21" s="215" t="s">
        <v>148</v>
      </c>
      <c r="J21" s="215">
        <v>77</v>
      </c>
      <c r="K21" s="215">
        <v>23.8</v>
      </c>
      <c r="L21" s="215" t="s">
        <v>148</v>
      </c>
      <c r="M21" s="215" t="s">
        <v>148</v>
      </c>
      <c r="N21" s="215">
        <v>100.8</v>
      </c>
      <c r="O21" s="58"/>
    </row>
    <row r="22" spans="1:24" x14ac:dyDescent="0.3">
      <c r="A22" s="250" t="s">
        <v>85</v>
      </c>
      <c r="B22" s="215" t="s">
        <v>148</v>
      </c>
      <c r="C22" s="215" t="s">
        <v>148</v>
      </c>
      <c r="D22" s="215" t="s">
        <v>148</v>
      </c>
      <c r="E22" s="215" t="s">
        <v>148</v>
      </c>
      <c r="F22" s="215" t="s">
        <v>148</v>
      </c>
      <c r="G22" s="215" t="s">
        <v>148</v>
      </c>
      <c r="H22" s="215" t="s">
        <v>148</v>
      </c>
      <c r="I22" s="215" t="s">
        <v>148</v>
      </c>
      <c r="J22" s="215">
        <v>83.35</v>
      </c>
      <c r="K22" s="215">
        <v>117.6</v>
      </c>
      <c r="L22" s="215" t="s">
        <v>148</v>
      </c>
      <c r="M22" s="215" t="s">
        <v>148</v>
      </c>
      <c r="N22" s="215">
        <v>200.95</v>
      </c>
      <c r="O22" s="58"/>
    </row>
    <row r="23" spans="1:24" x14ac:dyDescent="0.3">
      <c r="A23" s="250" t="s">
        <v>86</v>
      </c>
      <c r="B23" s="215" t="s">
        <v>148</v>
      </c>
      <c r="C23" s="215" t="s">
        <v>148</v>
      </c>
      <c r="D23" s="215" t="s">
        <v>148</v>
      </c>
      <c r="E23" s="215" t="s">
        <v>148</v>
      </c>
      <c r="F23" s="215" t="s">
        <v>148</v>
      </c>
      <c r="G23" s="215" t="s">
        <v>148</v>
      </c>
      <c r="H23" s="215" t="s">
        <v>148</v>
      </c>
      <c r="I23" s="215" t="s">
        <v>148</v>
      </c>
      <c r="J23" s="215">
        <v>321.43</v>
      </c>
      <c r="K23" s="215">
        <v>1</v>
      </c>
      <c r="L23" s="215" t="s">
        <v>148</v>
      </c>
      <c r="M23" s="215" t="s">
        <v>148</v>
      </c>
      <c r="N23" s="215">
        <v>322.43</v>
      </c>
      <c r="O23" s="58"/>
    </row>
    <row r="24" spans="1:24" x14ac:dyDescent="0.3">
      <c r="A24" s="250" t="s">
        <v>49</v>
      </c>
      <c r="B24" s="215" t="s">
        <v>148</v>
      </c>
      <c r="C24" s="215" t="s">
        <v>148</v>
      </c>
      <c r="D24" s="215" t="s">
        <v>148</v>
      </c>
      <c r="E24" s="215" t="s">
        <v>148</v>
      </c>
      <c r="F24" s="215" t="s">
        <v>148</v>
      </c>
      <c r="G24" s="215" t="s">
        <v>148</v>
      </c>
      <c r="H24" s="215" t="s">
        <v>148</v>
      </c>
      <c r="I24" s="215" t="s">
        <v>148</v>
      </c>
      <c r="J24" s="215">
        <v>0</v>
      </c>
      <c r="K24" s="215" t="s">
        <v>148</v>
      </c>
      <c r="L24" s="215" t="s">
        <v>148</v>
      </c>
      <c r="M24" s="215" t="s">
        <v>148</v>
      </c>
      <c r="N24" s="215">
        <v>0</v>
      </c>
      <c r="O24" s="58"/>
    </row>
    <row r="25" spans="1:24" x14ac:dyDescent="0.3">
      <c r="A25" s="250" t="s">
        <v>84</v>
      </c>
      <c r="B25" s="215" t="s">
        <v>148</v>
      </c>
      <c r="C25" s="215" t="s">
        <v>148</v>
      </c>
      <c r="D25" s="215" t="s">
        <v>148</v>
      </c>
      <c r="E25" s="215" t="s">
        <v>148</v>
      </c>
      <c r="F25" s="215" t="s">
        <v>148</v>
      </c>
      <c r="G25" s="215" t="s">
        <v>148</v>
      </c>
      <c r="H25" s="215" t="s">
        <v>148</v>
      </c>
      <c r="I25" s="215" t="s">
        <v>148</v>
      </c>
      <c r="J25" s="215">
        <v>3.5</v>
      </c>
      <c r="K25" s="215" t="s">
        <v>148</v>
      </c>
      <c r="L25" s="215" t="s">
        <v>148</v>
      </c>
      <c r="M25" s="215" t="s">
        <v>148</v>
      </c>
      <c r="N25" s="215">
        <v>3.5</v>
      </c>
      <c r="O25" s="58"/>
    </row>
    <row r="26" spans="1:24" x14ac:dyDescent="0.3">
      <c r="A26" s="210" t="s">
        <v>71</v>
      </c>
      <c r="B26" s="215" t="s">
        <v>148</v>
      </c>
      <c r="C26" s="215" t="s">
        <v>148</v>
      </c>
      <c r="D26" s="215" t="s">
        <v>148</v>
      </c>
      <c r="E26" s="215" t="s">
        <v>148</v>
      </c>
      <c r="F26" s="215" t="s">
        <v>148</v>
      </c>
      <c r="G26" s="215" t="s">
        <v>148</v>
      </c>
      <c r="H26" s="215" t="s">
        <v>148</v>
      </c>
      <c r="I26" s="215" t="s">
        <v>148</v>
      </c>
      <c r="J26" s="215">
        <v>61.9</v>
      </c>
      <c r="K26" s="215">
        <v>33.19</v>
      </c>
      <c r="L26" s="215" t="s">
        <v>148</v>
      </c>
      <c r="M26" s="215" t="s">
        <v>148</v>
      </c>
      <c r="N26" s="215">
        <v>95.089999999999989</v>
      </c>
      <c r="O26" s="58"/>
    </row>
    <row r="27" spans="1:24" x14ac:dyDescent="0.3">
      <c r="A27" s="250" t="s">
        <v>77</v>
      </c>
      <c r="B27" s="215" t="s">
        <v>148</v>
      </c>
      <c r="C27" s="215" t="s">
        <v>148</v>
      </c>
      <c r="D27" s="215" t="s">
        <v>148</v>
      </c>
      <c r="E27" s="215" t="s">
        <v>148</v>
      </c>
      <c r="F27" s="215" t="s">
        <v>148</v>
      </c>
      <c r="G27" s="215" t="s">
        <v>148</v>
      </c>
      <c r="H27" s="215" t="s">
        <v>148</v>
      </c>
      <c r="I27" s="215" t="s">
        <v>148</v>
      </c>
      <c r="J27" s="215">
        <v>54</v>
      </c>
      <c r="K27" s="215">
        <v>15.19</v>
      </c>
      <c r="L27" s="215" t="s">
        <v>148</v>
      </c>
      <c r="M27" s="215" t="s">
        <v>148</v>
      </c>
      <c r="N27" s="215">
        <v>69.19</v>
      </c>
      <c r="O27" s="58"/>
    </row>
    <row r="28" spans="1:24" x14ac:dyDescent="0.3">
      <c r="A28" s="250" t="s">
        <v>79</v>
      </c>
      <c r="B28" s="215" t="s">
        <v>148</v>
      </c>
      <c r="C28" s="215" t="s">
        <v>148</v>
      </c>
      <c r="D28" s="215" t="s">
        <v>148</v>
      </c>
      <c r="E28" s="215" t="s">
        <v>148</v>
      </c>
      <c r="F28" s="215" t="s">
        <v>148</v>
      </c>
      <c r="G28" s="215" t="s">
        <v>148</v>
      </c>
      <c r="H28" s="215" t="s">
        <v>148</v>
      </c>
      <c r="I28" s="215" t="s">
        <v>148</v>
      </c>
      <c r="J28" s="215">
        <v>2</v>
      </c>
      <c r="K28" s="215" t="s">
        <v>148</v>
      </c>
      <c r="L28" s="215" t="s">
        <v>148</v>
      </c>
      <c r="M28" s="215" t="s">
        <v>148</v>
      </c>
      <c r="N28" s="215">
        <v>2</v>
      </c>
      <c r="O28" s="58"/>
    </row>
    <row r="29" spans="1:24" x14ac:dyDescent="0.3">
      <c r="A29" s="250" t="s">
        <v>76</v>
      </c>
      <c r="B29" s="215" t="s">
        <v>148</v>
      </c>
      <c r="C29" s="215" t="s">
        <v>148</v>
      </c>
      <c r="D29" s="215" t="s">
        <v>148</v>
      </c>
      <c r="E29" s="215" t="s">
        <v>148</v>
      </c>
      <c r="F29" s="215" t="s">
        <v>148</v>
      </c>
      <c r="G29" s="215" t="s">
        <v>148</v>
      </c>
      <c r="H29" s="215" t="s">
        <v>148</v>
      </c>
      <c r="I29" s="215" t="s">
        <v>148</v>
      </c>
      <c r="J29" s="215">
        <v>3.3</v>
      </c>
      <c r="K29" s="215" t="s">
        <v>148</v>
      </c>
      <c r="L29" s="215" t="s">
        <v>148</v>
      </c>
      <c r="M29" s="215" t="s">
        <v>148</v>
      </c>
      <c r="N29" s="215">
        <v>3.3</v>
      </c>
    </row>
    <row r="30" spans="1:24" x14ac:dyDescent="0.3">
      <c r="A30" s="250" t="s">
        <v>231</v>
      </c>
      <c r="B30" s="215" t="s">
        <v>148</v>
      </c>
      <c r="C30" s="215" t="s">
        <v>148</v>
      </c>
      <c r="D30" s="215" t="s">
        <v>148</v>
      </c>
      <c r="E30" s="215" t="s">
        <v>148</v>
      </c>
      <c r="F30" s="215" t="s">
        <v>148</v>
      </c>
      <c r="G30" s="215" t="s">
        <v>148</v>
      </c>
      <c r="H30" s="215" t="s">
        <v>148</v>
      </c>
      <c r="I30" s="215" t="s">
        <v>148</v>
      </c>
      <c r="J30" s="215">
        <v>2.6</v>
      </c>
      <c r="K30" s="215" t="s">
        <v>148</v>
      </c>
      <c r="L30" s="215" t="s">
        <v>148</v>
      </c>
      <c r="M30" s="215" t="s">
        <v>148</v>
      </c>
      <c r="N30" s="215">
        <v>2.6</v>
      </c>
    </row>
    <row r="31" spans="1:24" x14ac:dyDescent="0.3">
      <c r="A31" s="250" t="s">
        <v>190</v>
      </c>
      <c r="B31" s="215" t="s">
        <v>148</v>
      </c>
      <c r="C31" s="215" t="s">
        <v>148</v>
      </c>
      <c r="D31" s="215" t="s">
        <v>148</v>
      </c>
      <c r="E31" s="215" t="s">
        <v>148</v>
      </c>
      <c r="F31" s="215" t="s">
        <v>148</v>
      </c>
      <c r="G31" s="215" t="s">
        <v>148</v>
      </c>
      <c r="H31" s="215" t="s">
        <v>148</v>
      </c>
      <c r="I31" s="215" t="s">
        <v>148</v>
      </c>
      <c r="J31" s="215" t="s">
        <v>148</v>
      </c>
      <c r="K31" s="215">
        <v>18</v>
      </c>
      <c r="L31" s="215" t="s">
        <v>148</v>
      </c>
      <c r="M31" s="215" t="s">
        <v>148</v>
      </c>
      <c r="N31" s="215">
        <v>18</v>
      </c>
    </row>
    <row r="32" spans="1:24" x14ac:dyDescent="0.3">
      <c r="A32" s="210" t="s">
        <v>49</v>
      </c>
      <c r="B32" s="215" t="s">
        <v>148</v>
      </c>
      <c r="C32" s="215" t="s">
        <v>148</v>
      </c>
      <c r="D32" s="215" t="s">
        <v>148</v>
      </c>
      <c r="E32" s="215" t="s">
        <v>148</v>
      </c>
      <c r="F32" s="215" t="s">
        <v>148</v>
      </c>
      <c r="G32" s="215" t="s">
        <v>148</v>
      </c>
      <c r="H32" s="215" t="s">
        <v>148</v>
      </c>
      <c r="I32" s="215" t="s">
        <v>148</v>
      </c>
      <c r="J32" s="215" t="s">
        <v>148</v>
      </c>
      <c r="K32" s="215">
        <v>8.5500000000000007</v>
      </c>
      <c r="L32" s="215" t="s">
        <v>148</v>
      </c>
      <c r="M32" s="215" t="s">
        <v>148</v>
      </c>
      <c r="N32" s="215">
        <v>8.5500000000000007</v>
      </c>
    </row>
    <row r="33" spans="1:14" x14ac:dyDescent="0.3">
      <c r="A33" s="250" t="s">
        <v>145</v>
      </c>
      <c r="B33" s="215" t="s">
        <v>148</v>
      </c>
      <c r="C33" s="215" t="s">
        <v>148</v>
      </c>
      <c r="D33" s="215" t="s">
        <v>148</v>
      </c>
      <c r="E33" s="215" t="s">
        <v>148</v>
      </c>
      <c r="F33" s="215" t="s">
        <v>148</v>
      </c>
      <c r="G33" s="215" t="s">
        <v>148</v>
      </c>
      <c r="H33" s="215" t="s">
        <v>148</v>
      </c>
      <c r="I33" s="215" t="s">
        <v>148</v>
      </c>
      <c r="J33" s="215" t="s">
        <v>148</v>
      </c>
      <c r="K33" s="215">
        <v>8.5500000000000007</v>
      </c>
      <c r="L33" s="215" t="s">
        <v>148</v>
      </c>
      <c r="M33" s="215" t="s">
        <v>148</v>
      </c>
      <c r="N33" s="215">
        <v>8.5500000000000007</v>
      </c>
    </row>
    <row r="34" spans="1:14" x14ac:dyDescent="0.3">
      <c r="A34" s="210" t="s">
        <v>246</v>
      </c>
      <c r="B34" s="215" t="s">
        <v>148</v>
      </c>
      <c r="C34" s="215" t="s">
        <v>148</v>
      </c>
      <c r="D34" s="215" t="s">
        <v>148</v>
      </c>
      <c r="E34" s="215" t="s">
        <v>148</v>
      </c>
      <c r="F34" s="215" t="s">
        <v>148</v>
      </c>
      <c r="G34" s="215" t="s">
        <v>148</v>
      </c>
      <c r="H34" s="215" t="s">
        <v>148</v>
      </c>
      <c r="I34" s="215" t="s">
        <v>148</v>
      </c>
      <c r="J34" s="215">
        <v>0</v>
      </c>
      <c r="K34" s="215">
        <v>43.4</v>
      </c>
      <c r="L34" s="215" t="s">
        <v>148</v>
      </c>
      <c r="M34" s="215" t="s">
        <v>148</v>
      </c>
      <c r="N34" s="215">
        <v>43.4</v>
      </c>
    </row>
    <row r="35" spans="1:14" x14ac:dyDescent="0.3">
      <c r="A35" s="250" t="s">
        <v>248</v>
      </c>
      <c r="B35" s="215" t="s">
        <v>148</v>
      </c>
      <c r="C35" s="215" t="s">
        <v>148</v>
      </c>
      <c r="D35" s="215" t="s">
        <v>148</v>
      </c>
      <c r="E35" s="215" t="s">
        <v>148</v>
      </c>
      <c r="F35" s="215" t="s">
        <v>148</v>
      </c>
      <c r="G35" s="215" t="s">
        <v>148</v>
      </c>
      <c r="H35" s="215" t="s">
        <v>148</v>
      </c>
      <c r="I35" s="215" t="s">
        <v>148</v>
      </c>
      <c r="J35" s="215">
        <v>0</v>
      </c>
      <c r="K35" s="215">
        <v>43.4</v>
      </c>
      <c r="L35" s="215" t="s">
        <v>148</v>
      </c>
      <c r="M35" s="215" t="s">
        <v>148</v>
      </c>
      <c r="N35" s="215">
        <v>43.4</v>
      </c>
    </row>
    <row r="36" spans="1:14" x14ac:dyDescent="0.3">
      <c r="A36" s="210" t="s">
        <v>59</v>
      </c>
      <c r="B36" s="215" t="s">
        <v>148</v>
      </c>
      <c r="C36" s="215" t="s">
        <v>148</v>
      </c>
      <c r="D36" s="215" t="s">
        <v>148</v>
      </c>
      <c r="E36" s="215" t="s">
        <v>148</v>
      </c>
      <c r="F36" s="215" t="s">
        <v>148</v>
      </c>
      <c r="G36" s="215" t="s">
        <v>148</v>
      </c>
      <c r="H36" s="215" t="s">
        <v>148</v>
      </c>
      <c r="I36" s="215" t="s">
        <v>148</v>
      </c>
      <c r="J36" s="215" t="s">
        <v>148</v>
      </c>
      <c r="K36" s="215">
        <v>100</v>
      </c>
      <c r="L36" s="215" t="s">
        <v>148</v>
      </c>
      <c r="M36" s="215" t="s">
        <v>148</v>
      </c>
      <c r="N36" s="215">
        <v>100</v>
      </c>
    </row>
    <row r="37" spans="1:14" x14ac:dyDescent="0.3">
      <c r="A37" s="250" t="s">
        <v>270</v>
      </c>
      <c r="B37" s="215" t="s">
        <v>148</v>
      </c>
      <c r="C37" s="215" t="s">
        <v>148</v>
      </c>
      <c r="D37" s="215" t="s">
        <v>148</v>
      </c>
      <c r="E37" s="215" t="s">
        <v>148</v>
      </c>
      <c r="F37" s="215" t="s">
        <v>148</v>
      </c>
      <c r="G37" s="215" t="s">
        <v>148</v>
      </c>
      <c r="H37" s="215" t="s">
        <v>148</v>
      </c>
      <c r="I37" s="215" t="s">
        <v>148</v>
      </c>
      <c r="J37" s="215" t="s">
        <v>148</v>
      </c>
      <c r="K37" s="215">
        <v>100</v>
      </c>
      <c r="L37" s="215" t="s">
        <v>148</v>
      </c>
      <c r="M37" s="215" t="s">
        <v>148</v>
      </c>
      <c r="N37" s="215">
        <v>100</v>
      </c>
    </row>
    <row r="38" spans="1:14" x14ac:dyDescent="0.3">
      <c r="A38" s="210" t="s">
        <v>146</v>
      </c>
      <c r="B38" s="215">
        <v>0</v>
      </c>
      <c r="C38" s="215">
        <v>0</v>
      </c>
      <c r="D38" s="215">
        <v>0</v>
      </c>
      <c r="E38" s="215">
        <v>0</v>
      </c>
      <c r="F38" s="215">
        <v>0</v>
      </c>
      <c r="G38" s="215">
        <v>0</v>
      </c>
      <c r="H38" s="215">
        <v>0</v>
      </c>
      <c r="I38" s="215">
        <v>0</v>
      </c>
      <c r="J38" s="215">
        <v>990.51999999999987</v>
      </c>
      <c r="K38" s="215">
        <v>1137.47</v>
      </c>
      <c r="L38" s="215">
        <v>0</v>
      </c>
      <c r="M38" s="215">
        <v>0</v>
      </c>
      <c r="N38" s="215">
        <v>2127.9899999999998</v>
      </c>
    </row>
    <row r="39" spans="1:14" x14ac:dyDescent="0.3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</sheetData>
  <phoneticPr fontId="16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34697-DD51-40AC-A723-BB0F9869C2BE}">
  <sheetPr codeName="Foglio6">
    <tabColor theme="5" tint="-0.249977111117893"/>
  </sheetPr>
  <dimension ref="A1:G66"/>
  <sheetViews>
    <sheetView topLeftCell="A7" zoomScale="45" zoomScaleNormal="55" workbookViewId="0">
      <selection activeCell="AA73" sqref="AA73"/>
    </sheetView>
  </sheetViews>
  <sheetFormatPr defaultRowHeight="14.4" x14ac:dyDescent="0.3"/>
  <cols>
    <col min="1" max="16384" width="8.88671875" style="169"/>
  </cols>
  <sheetData>
    <row r="1" spans="1:2" x14ac:dyDescent="0.3">
      <c r="A1" s="168">
        <v>10</v>
      </c>
      <c r="B1" s="168" t="str">
        <f>_xlfn.XLOOKUP(A1,IMPOSTAZIONI!U29:U40,IMPOSTAZIONI!V29:V40)</f>
        <v>OTTOBRE</v>
      </c>
    </row>
    <row r="65" spans="7:7" x14ac:dyDescent="0.3">
      <c r="G65" s="170"/>
    </row>
    <row r="66" spans="7:7" x14ac:dyDescent="0.3">
      <c r="G66" s="1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FC32B-742A-4B63-B28F-EDC84B99AFDE}">
  <sheetPr codeName="Foglio9">
    <tabColor rgb="FFFFC000"/>
  </sheetPr>
  <dimension ref="A1:AH43"/>
  <sheetViews>
    <sheetView tabSelected="1" topLeftCell="Q1" zoomScale="85" zoomScaleNormal="85" workbookViewId="0">
      <selection activeCell="T4" sqref="T4"/>
    </sheetView>
  </sheetViews>
  <sheetFormatPr defaultRowHeight="14.4" x14ac:dyDescent="0.3"/>
  <cols>
    <col min="1" max="1" width="10.77734375" style="204" bestFit="1" customWidth="1"/>
    <col min="2" max="2" width="13.21875" style="204" customWidth="1"/>
    <col min="3" max="3" width="11.88671875" style="204" bestFit="1" customWidth="1"/>
    <col min="4" max="4" width="8.88671875" style="204"/>
    <col min="5" max="5" width="10.77734375" style="204" bestFit="1" customWidth="1"/>
    <col min="6" max="6" width="9.33203125" style="204" bestFit="1" customWidth="1"/>
    <col min="7" max="7" width="10.77734375" style="204" customWidth="1"/>
    <col min="8" max="8" width="11.5546875" style="204" customWidth="1"/>
    <col min="9" max="9" width="8.88671875" style="204"/>
    <col min="10" max="10" width="12.21875" style="204" customWidth="1"/>
    <col min="11" max="11" width="17.77734375" style="204" customWidth="1"/>
    <col min="12" max="12" width="13.33203125" style="204" customWidth="1"/>
    <col min="13" max="16" width="8.88671875" style="204"/>
    <col min="17" max="17" width="13.21875" style="204" customWidth="1"/>
    <col min="18" max="19" width="8.88671875" style="204"/>
    <col min="20" max="20" width="13.77734375" style="204" customWidth="1"/>
    <col min="21" max="21" width="16.5546875" style="204" bestFit="1" customWidth="1"/>
    <col min="22" max="22" width="19.6640625" style="204" customWidth="1"/>
    <col min="23" max="23" width="11.6640625" style="204" customWidth="1"/>
    <col min="24" max="24" width="8.88671875" style="204"/>
    <col min="25" max="25" width="11.77734375" style="204" customWidth="1"/>
    <col min="26" max="26" width="16.109375" style="204" customWidth="1"/>
    <col min="27" max="27" width="14.6640625" style="204" bestFit="1" customWidth="1"/>
    <col min="28" max="29" width="15.5546875" style="204" customWidth="1"/>
    <col min="30" max="30" width="12.5546875" style="204" customWidth="1"/>
    <col min="31" max="31" width="13.33203125" style="204" customWidth="1"/>
    <col min="32" max="32" width="15.44140625" style="204" customWidth="1"/>
    <col min="33" max="33" width="14" style="204" customWidth="1"/>
    <col min="34" max="34" width="13" style="204" customWidth="1"/>
    <col min="35" max="35" width="19.6640625" style="204" customWidth="1"/>
    <col min="36" max="16384" width="8.88671875" style="204"/>
  </cols>
  <sheetData>
    <row r="1" spans="1:33" x14ac:dyDescent="0.3">
      <c r="A1" s="89" t="s">
        <v>0</v>
      </c>
      <c r="B1" s="200" t="s">
        <v>189</v>
      </c>
      <c r="C1" s="200">
        <v>45905</v>
      </c>
      <c r="D1" s="201"/>
      <c r="E1" s="202"/>
      <c r="F1" s="202"/>
      <c r="G1" s="202"/>
      <c r="H1" s="203"/>
      <c r="J1" s="89" t="s">
        <v>0</v>
      </c>
      <c r="K1" s="159" t="s">
        <v>240</v>
      </c>
      <c r="L1" s="200">
        <v>45941</v>
      </c>
      <c r="M1" s="201"/>
      <c r="N1" s="202"/>
      <c r="O1" s="202"/>
      <c r="P1" s="202"/>
      <c r="Q1" s="203"/>
      <c r="T1" s="89" t="s">
        <v>176</v>
      </c>
      <c r="U1" s="90" t="s">
        <v>178</v>
      </c>
      <c r="V1" s="92" t="s">
        <v>192</v>
      </c>
      <c r="W1" s="203"/>
      <c r="Y1" s="89" t="s">
        <v>176</v>
      </c>
      <c r="Z1" s="205" t="s">
        <v>178</v>
      </c>
      <c r="AA1" s="205"/>
      <c r="AB1" s="206"/>
      <c r="AC1" s="206"/>
      <c r="AD1" s="206"/>
      <c r="AE1" s="206"/>
      <c r="AF1" s="206"/>
      <c r="AG1" s="203"/>
    </row>
    <row r="2" spans="1:33" x14ac:dyDescent="0.3">
      <c r="A2" s="87" t="s">
        <v>286</v>
      </c>
      <c r="B2" s="234" t="s">
        <v>180</v>
      </c>
      <c r="C2" s="234" t="s">
        <v>181</v>
      </c>
      <c r="D2" s="234" t="s">
        <v>182</v>
      </c>
      <c r="E2" s="234" t="s">
        <v>183</v>
      </c>
      <c r="F2" s="234" t="s">
        <v>184</v>
      </c>
      <c r="G2" s="234" t="s">
        <v>185</v>
      </c>
      <c r="H2" s="209"/>
      <c r="I2" s="210"/>
      <c r="J2" s="207"/>
      <c r="K2" s="208" t="s">
        <v>180</v>
      </c>
      <c r="L2" s="208" t="s">
        <v>181</v>
      </c>
      <c r="M2" s="208" t="s">
        <v>182</v>
      </c>
      <c r="N2" s="208" t="s">
        <v>183</v>
      </c>
      <c r="O2" s="208" t="s">
        <v>184</v>
      </c>
      <c r="P2" s="208" t="s">
        <v>185</v>
      </c>
      <c r="Q2" s="209"/>
      <c r="R2" s="210"/>
      <c r="T2" s="87" t="s">
        <v>0</v>
      </c>
      <c r="U2" s="158">
        <v>45938</v>
      </c>
      <c r="V2" s="158">
        <v>45944</v>
      </c>
      <c r="W2" s="211"/>
      <c r="Y2" s="87" t="s">
        <v>0</v>
      </c>
      <c r="Z2" s="242">
        <f>IMPOSTAZIONI!E5</f>
        <v>2025</v>
      </c>
      <c r="AA2" s="242"/>
      <c r="AB2" s="238"/>
      <c r="AC2" s="238"/>
      <c r="AD2" s="238"/>
      <c r="AE2" s="238"/>
      <c r="AF2" s="238"/>
      <c r="AG2" s="211"/>
    </row>
    <row r="3" spans="1:33" x14ac:dyDescent="0.3">
      <c r="A3" s="87" t="s">
        <v>179</v>
      </c>
      <c r="B3" s="235" t="str" cm="1">
        <f t="array" ref="B3:C3">TRANSPOSE(tbl_persone[persone])</f>
        <v>felice</v>
      </c>
      <c r="C3" s="235" t="str">
        <v>elena</v>
      </c>
      <c r="D3" s="235"/>
      <c r="E3" s="236"/>
      <c r="F3" s="236"/>
      <c r="G3" s="236"/>
      <c r="H3" s="212" t="s">
        <v>111</v>
      </c>
      <c r="I3" s="159"/>
      <c r="J3" s="87" t="s">
        <v>179</v>
      </c>
      <c r="K3" s="159" t="str" cm="1">
        <f t="array" ref="K3:L3">TRANSPOSE(tbl_persone[persone])</f>
        <v>felice</v>
      </c>
      <c r="L3" s="159" t="str">
        <v>elena</v>
      </c>
      <c r="M3" s="159"/>
      <c r="N3" s="34"/>
      <c r="O3" s="34"/>
      <c r="P3" s="34"/>
      <c r="Q3" s="212" t="s">
        <v>111</v>
      </c>
      <c r="T3" s="87" t="s">
        <v>179</v>
      </c>
      <c r="U3" s="159" t="s">
        <v>164</v>
      </c>
      <c r="V3" s="159" t="s">
        <v>163</v>
      </c>
      <c r="W3" s="88" t="s">
        <v>165</v>
      </c>
      <c r="Y3" s="207"/>
      <c r="Z3" s="238" t="s">
        <v>33</v>
      </c>
      <c r="AA3" s="238" t="s">
        <v>203</v>
      </c>
      <c r="AB3" s="238" t="s">
        <v>56</v>
      </c>
      <c r="AC3" s="238" t="s">
        <v>241</v>
      </c>
      <c r="AD3" s="238" t="s">
        <v>117</v>
      </c>
      <c r="AE3" s="238" t="s">
        <v>45</v>
      </c>
      <c r="AF3" s="238" t="s">
        <v>158</v>
      </c>
      <c r="AG3" s="211" t="s">
        <v>187</v>
      </c>
    </row>
    <row r="4" spans="1:33" x14ac:dyDescent="0.3">
      <c r="A4" s="207" t="str" cm="1">
        <f t="array" ref="A4:A9">tbl_carte[nome]</f>
        <v>contanti</v>
      </c>
      <c r="B4" s="237">
        <v>212.5</v>
      </c>
      <c r="C4" s="237">
        <v>0</v>
      </c>
      <c r="D4" s="237">
        <v>0</v>
      </c>
      <c r="E4" s="237">
        <v>0</v>
      </c>
      <c r="F4" s="237">
        <v>0</v>
      </c>
      <c r="G4" s="237">
        <v>0</v>
      </c>
      <c r="H4" s="214">
        <f>IF(A4="","",SUM(B4:G4))</f>
        <v>212.5</v>
      </c>
      <c r="I4" s="57"/>
      <c r="J4" s="207" t="str" cm="1">
        <f t="array" ref="J4:J9">tbl_carte[nome]</f>
        <v>contanti</v>
      </c>
      <c r="K4" s="215">
        <v>272.64999999999998</v>
      </c>
      <c r="L4" s="213">
        <v>0</v>
      </c>
      <c r="M4" s="213">
        <v>0</v>
      </c>
      <c r="N4" s="213">
        <v>0</v>
      </c>
      <c r="O4" s="213">
        <v>0</v>
      </c>
      <c r="P4" s="213">
        <v>0</v>
      </c>
      <c r="Q4" s="214">
        <f t="shared" ref="Q4:Q9" si="0">SUM(K4:P4)</f>
        <v>272.64999999999998</v>
      </c>
      <c r="T4" s="207" t="str" cm="1">
        <f t="array" ref="T4:T9">tbl_carte[nome]</f>
        <v>contanti</v>
      </c>
      <c r="U4" s="215">
        <v>272.64999999999998</v>
      </c>
      <c r="V4" s="215">
        <v>261.14999999999998</v>
      </c>
      <c r="W4" s="216">
        <f>IFERROR(V4-U4,"")</f>
        <v>-11.5</v>
      </c>
      <c r="Y4" s="207" t="str" cm="1">
        <f t="array" ref="Y4:Y9">tbl_carte[nome]</f>
        <v>contanti</v>
      </c>
      <c r="Z4" s="241">
        <f>IF(Y4="","",IF($Z$1="totale",SUMIF(tbl_entrate_compilazione[Pagamento],Y4,tbl_entrate_compilazione[Euro]),SUMIFS(tbl_entrate_compilazione[Euro],tbl_entrate_compilazione[Intestatario],$Z$1,tbl_entrate_compilazione[Pagamento],Y4)))</f>
        <v>250</v>
      </c>
      <c r="AA4" s="241">
        <f>IF(Y4="","",SUMIFS(tbl_trasferimenti[importo],tbl_trasferimenti[intestatario],$Z$1,tbl_trasferimenti[conto],Y4)+SUMIFS(tbl_trasferimenti[importo2],tbl_trasferimenti[destinatario],$Z$1,tbl_trasferimenti[conto2],Y4))</f>
        <v>210</v>
      </c>
      <c r="AB4" s="241">
        <f>IF(Y4="","",IF($Z$1="totale",SUMIF(tbl_spese_compilazione[Pagamento],Y4,tbl_spese_compilazione[Euro Lordo]),SUMIFS(tbl_spese_compilazione[Euro Lordo],tbl_spese_compilazione[Intestatario],$Z$1,tbl_spese_compilazione[Pagamento],Y4)))</f>
        <v>724.65</v>
      </c>
      <c r="AC4" s="241">
        <f>IF(Y4="","",IF($Z$1="totale",SUMIF(tbl_rimborsi_compilazione[Pagamento],Y4,tbl_rimborsi_compilazione[Euro]),SUMIFS(tbl_rimborsi_compilazione[Euro],tbl_rimborsi_compilazione[Pagamento],Y4,tbl_rimborsi_compilazione[Intestatario],$Z$1)))</f>
        <v>313.3</v>
      </c>
      <c r="AD4" s="241">
        <f>IF(Y4="","",IF($Z$1="totale",SUMIF(tbl_risparmi_compilazione[Pagamento],Y4,tbl_risparmi_compilazione[Euro]),SUMIFS(tbl_risparmi_compilazione[Euro],tbl_risparmi_compilazione[Intestatario],$Z$1,tbl_risparmi_compilazione[Pagamento],Y4)))</f>
        <v>0</v>
      </c>
      <c r="AE4" s="241">
        <f>IF(Y4="","",IF($Z$1="totale",SUMIF(tbl_investimenti_compilazione[Pagamento],Y4,tbl_investimenti_compilazione[Euro]),SUMIFS(tbl_investimenti_compilazione[Euro],tbl_investimenti_compilazione[Intestatario],$Z$1,tbl_investimenti_compilazione[Pagamento],Y4)))</f>
        <v>0</v>
      </c>
      <c r="AF4" s="241" cm="1">
        <f t="array" ref="AF4">IF(Y4="","",(B25+Z4+AA4-AB4+AC4-AD4-AE4)+_xlfn.XLOOKUP(Y4,$A$4:$A$19,_xlfn.XLOOKUP($Z$1,$B$3:$G$3,$B$4:$G$19)))</f>
        <v>261.15000000000003</v>
      </c>
      <c r="AG4" s="216" cm="1">
        <f t="array" ref="AG4">IF(Y4="","",AF4+AD4+_xlfn.XLOOKUP(Y4,$A$25:$A$40,_xlfn.XLOOKUP($Z$1,$B$24:$G$24,$B$25:$G$40)))</f>
        <v>261.15000000000003</v>
      </c>
    </row>
    <row r="5" spans="1:33" x14ac:dyDescent="0.3">
      <c r="A5" s="207" t="str">
        <v>bnl</v>
      </c>
      <c r="B5" s="237">
        <v>937.85</v>
      </c>
      <c r="C5" s="237">
        <v>0</v>
      </c>
      <c r="D5" s="237">
        <v>0</v>
      </c>
      <c r="E5" s="237">
        <v>0</v>
      </c>
      <c r="F5" s="237">
        <v>0</v>
      </c>
      <c r="G5" s="237">
        <v>0</v>
      </c>
      <c r="H5" s="214">
        <f t="shared" ref="H5:H19" si="1">IF(A5="","",SUM(B5:G5))</f>
        <v>937.85</v>
      </c>
      <c r="I5" s="57"/>
      <c r="J5" s="207" t="str">
        <v>bnl</v>
      </c>
      <c r="K5" s="215">
        <v>1924.05</v>
      </c>
      <c r="L5" s="213">
        <v>0</v>
      </c>
      <c r="M5" s="213">
        <v>0</v>
      </c>
      <c r="N5" s="213">
        <v>0</v>
      </c>
      <c r="O5" s="213">
        <v>0</v>
      </c>
      <c r="P5" s="213">
        <v>0</v>
      </c>
      <c r="Q5" s="214">
        <f t="shared" si="0"/>
        <v>1924.05</v>
      </c>
      <c r="T5" s="207" t="str">
        <v>bnl</v>
      </c>
      <c r="U5" s="215">
        <v>153.94999999999999</v>
      </c>
      <c r="V5" s="215">
        <v>1021.69</v>
      </c>
      <c r="W5" s="216">
        <f t="shared" ref="W5:W19" si="2">IFERROR(V5-U5,"")</f>
        <v>867.74</v>
      </c>
      <c r="Y5" s="207" t="str">
        <v>bnl</v>
      </c>
      <c r="Z5" s="241">
        <f>IF(Y5="","",IF($Z$1="totale",SUMIF(tbl_entrate_compilazione[Pagamento],Y5,tbl_entrate_compilazione[Euro]),SUMIFS(tbl_entrate_compilazione[Euro],tbl_entrate_compilazione[Intestatario],$Z$1,tbl_entrate_compilazione[Pagamento],Y5)))</f>
        <v>2095.3000000000002</v>
      </c>
      <c r="AA5" s="241">
        <f>IF(Y5="","",SUMIFS(tbl_trasferimenti[importo],tbl_trasferimenti[intestatario],$Z$1,tbl_trasferimenti[conto],Y5)+SUMIFS(tbl_trasferimenti[importo2],tbl_trasferimenti[destinatario],$Z$1,tbl_trasferimenti[conto2],Y5))</f>
        <v>-1830</v>
      </c>
      <c r="AB5" s="241">
        <f>IF(Y5="","",IF($Z$1="totale",SUMIF(tbl_spese_compilazione[Pagamento],Y5,tbl_spese_compilazione[Euro Lordo]),SUMIFS(tbl_spese_compilazione[Euro Lordo],tbl_spese_compilazione[Intestatario],$Z$1,tbl_spese_compilazione[Pagamento],Y5)))</f>
        <v>712.16</v>
      </c>
      <c r="AC5" s="241">
        <f>IF(Y5="","",IF($Z$1="totale",SUMIF(tbl_rimborsi_compilazione[Pagamento],Y5,tbl_rimborsi_compilazione[Euro]),SUMIFS(tbl_rimborsi_compilazione[Euro],tbl_rimborsi_compilazione[Pagamento],Y5,tbl_rimborsi_compilazione[Intestatario],$Z$1)))</f>
        <v>530.70000000000005</v>
      </c>
      <c r="AD5" s="241">
        <f>IF(Y5="","",IF($Z$1="totale",SUMIF(tbl_risparmi_compilazione[Pagamento],Y5,tbl_risparmi_compilazione[Euro]),SUMIFS(tbl_risparmi_compilazione[Euro],tbl_risparmi_compilazione[Intestatario],$Z$1,tbl_risparmi_compilazione[Pagamento],Y5)))</f>
        <v>0</v>
      </c>
      <c r="AE5" s="241">
        <f>IF(Y5="","",IF($Z$1="totale",SUMIF(tbl_investimenti_compilazione[Pagamento],Y5,tbl_investimenti_compilazione[Euro]),SUMIFS(tbl_investimenti_compilazione[Euro],tbl_investimenti_compilazione[Intestatario],$Z$1,tbl_investimenti_compilazione[Pagamento],Y5)))</f>
        <v>0</v>
      </c>
      <c r="AF5" s="241" cm="1">
        <f t="array" ref="AF5">IF(Y5="","",(B26+Z5+AA5-AB5+AC5-AD5-AE5)+_xlfn.XLOOKUP(Y5,$A$4:$A$19,_xlfn.XLOOKUP($Z$1,$B$3:$G$3,$B$4:$G$19)))</f>
        <v>1021.6900000000003</v>
      </c>
      <c r="AG5" s="216" cm="1">
        <f t="array" ref="AG5">IF(Y5="","",AF5+AD5+_xlfn.XLOOKUP(Y5,$A$25:$A$40,_xlfn.XLOOKUP($Z$1,$B$24:$G$24,$B$25:$G$40)))</f>
        <v>1021.6900000000003</v>
      </c>
    </row>
    <row r="6" spans="1:33" x14ac:dyDescent="0.3">
      <c r="A6" s="207" t="str">
        <v>postepay</v>
      </c>
      <c r="B6" s="237">
        <v>11.06</v>
      </c>
      <c r="C6" s="237">
        <v>0</v>
      </c>
      <c r="D6" s="237">
        <v>0</v>
      </c>
      <c r="E6" s="237">
        <v>0</v>
      </c>
      <c r="F6" s="237">
        <v>0</v>
      </c>
      <c r="G6" s="237">
        <v>0</v>
      </c>
      <c r="H6" s="214">
        <f t="shared" si="1"/>
        <v>11.06</v>
      </c>
      <c r="I6" s="57"/>
      <c r="J6" s="207" t="str">
        <v>postepay</v>
      </c>
      <c r="K6" s="215">
        <v>31.46</v>
      </c>
      <c r="L6" s="213">
        <v>0</v>
      </c>
      <c r="M6" s="213">
        <v>0</v>
      </c>
      <c r="N6" s="213">
        <v>0</v>
      </c>
      <c r="O6" s="213">
        <v>0</v>
      </c>
      <c r="P6" s="213">
        <v>0</v>
      </c>
      <c r="Q6" s="214">
        <f t="shared" si="0"/>
        <v>31.46</v>
      </c>
      <c r="T6" s="207" t="str">
        <v>postepay</v>
      </c>
      <c r="U6" s="215">
        <v>31.46</v>
      </c>
      <c r="V6" s="215">
        <v>31.46</v>
      </c>
      <c r="W6" s="216">
        <f t="shared" si="2"/>
        <v>0</v>
      </c>
      <c r="Y6" s="207" t="str">
        <v>postepay</v>
      </c>
      <c r="Z6" s="241">
        <f>IF(Y6="","",IF($Z$1="totale",SUMIF(tbl_entrate_compilazione[Pagamento],Y6,tbl_entrate_compilazione[Euro]),SUMIFS(tbl_entrate_compilazione[Euro],tbl_entrate_compilazione[Intestatario],$Z$1,tbl_entrate_compilazione[Pagamento],Y6)))</f>
        <v>0</v>
      </c>
      <c r="AA6" s="241">
        <f>IF(Y6="","",SUMIFS(tbl_trasferimenti[importo],tbl_trasferimenti[intestatario],$Z$1,tbl_trasferimenti[conto],Y6)+SUMIFS(tbl_trasferimenti[importo2],tbl_trasferimenti[destinatario],$Z$1,tbl_trasferimenti[conto2],Y6))</f>
        <v>30</v>
      </c>
      <c r="AB6" s="241">
        <f>IF(Y6="","",IF($Z$1="totale",SUMIF(tbl_spese_compilazione[Pagamento],Y6,tbl_spese_compilazione[Euro Lordo]),SUMIFS(tbl_spese_compilazione[Euro Lordo],tbl_spese_compilazione[Intestatario],$Z$1,tbl_spese_compilazione[Pagamento],Y6)))</f>
        <v>20.6</v>
      </c>
      <c r="AC6" s="241">
        <f>IF(Y6="","",IF($Z$1="totale",SUMIF(tbl_rimborsi_compilazione[Pagamento],Y6,tbl_rimborsi_compilazione[Euro]),SUMIFS(tbl_rimborsi_compilazione[Euro],tbl_rimborsi_compilazione[Pagamento],Y6,tbl_rimborsi_compilazione[Intestatario],$Z$1)))</f>
        <v>11</v>
      </c>
      <c r="AD6" s="241">
        <f>IF(Y6="","",IF($Z$1="totale",SUMIF(tbl_risparmi_compilazione[Pagamento],Y6,tbl_risparmi_compilazione[Euro]),SUMIFS(tbl_risparmi_compilazione[Euro],tbl_risparmi_compilazione[Intestatario],$Z$1,tbl_risparmi_compilazione[Pagamento],Y6)))</f>
        <v>0</v>
      </c>
      <c r="AE6" s="241">
        <f>IF(Y6="","",IF($Z$1="totale",SUMIF(tbl_investimenti_compilazione[Pagamento],Y6,tbl_investimenti_compilazione[Euro]),SUMIFS(tbl_investimenti_compilazione[Euro],tbl_investimenti_compilazione[Intestatario],$Z$1,tbl_investimenti_compilazione[Pagamento],Y6)))</f>
        <v>0</v>
      </c>
      <c r="AF6" s="241" cm="1">
        <f t="array" ref="AF6">IF(Y6="","",(B27+Z6+AA6-AB6+AC6-AD6-AE6)+_xlfn.XLOOKUP(Y6,$A$4:$A$19,_xlfn.XLOOKUP($Z$1,$B$3:$G$3,$B$4:$G$19)))</f>
        <v>31.46</v>
      </c>
      <c r="AG6" s="216" cm="1">
        <f t="array" ref="AG6">IF(Y6="","",AF6+AD6+_xlfn.XLOOKUP(Y6,$A$25:$A$40,_xlfn.XLOOKUP($Z$1,$B$24:$G$24,$B$25:$G$40)))</f>
        <v>31.46</v>
      </c>
    </row>
    <row r="7" spans="1:33" x14ac:dyDescent="0.3">
      <c r="A7" s="207" t="str">
        <v>revolut</v>
      </c>
      <c r="B7" s="237">
        <v>108.43</v>
      </c>
      <c r="C7" s="237">
        <v>0</v>
      </c>
      <c r="D7" s="237">
        <v>0</v>
      </c>
      <c r="E7" s="237">
        <v>0</v>
      </c>
      <c r="F7" s="237">
        <v>0</v>
      </c>
      <c r="G7" s="237">
        <v>0</v>
      </c>
      <c r="H7" s="214">
        <f t="shared" si="1"/>
        <v>108.43</v>
      </c>
      <c r="I7" s="57"/>
      <c r="J7" s="207" t="str">
        <v>revolut</v>
      </c>
      <c r="K7" s="215">
        <v>98.79</v>
      </c>
      <c r="L7" s="213">
        <v>0</v>
      </c>
      <c r="M7" s="213">
        <v>0</v>
      </c>
      <c r="N7" s="213">
        <v>0</v>
      </c>
      <c r="O7" s="213">
        <v>0</v>
      </c>
      <c r="P7" s="213">
        <v>0</v>
      </c>
      <c r="Q7" s="214">
        <f t="shared" si="0"/>
        <v>98.79</v>
      </c>
      <c r="T7" s="207" t="str">
        <v>revolut</v>
      </c>
      <c r="U7" s="215">
        <v>124.98</v>
      </c>
      <c r="V7" s="215">
        <v>179.89</v>
      </c>
      <c r="W7" s="216">
        <f t="shared" si="2"/>
        <v>54.909999999999982</v>
      </c>
      <c r="Y7" s="207" t="str">
        <v>revolut</v>
      </c>
      <c r="Z7" s="241">
        <f>IF(Y7="","",IF($Z$1="totale",SUMIF(tbl_entrate_compilazione[Pagamento],Y7,tbl_entrate_compilazione[Euro]),SUMIFS(tbl_entrate_compilazione[Euro],tbl_entrate_compilazione[Intestatario],$Z$1,tbl_entrate_compilazione[Pagamento],Y7)))</f>
        <v>0</v>
      </c>
      <c r="AA7" s="241">
        <f>IF(Y7="","",SUMIFS(tbl_trasferimenti[importo],tbl_trasferimenti[intestatario],$Z$1,tbl_trasferimenti[conto],Y7)+SUMIFS(tbl_trasferimenti[importo2],tbl_trasferimenti[destinatario],$Z$1,tbl_trasferimenti[conto2],Y7))</f>
        <v>1590</v>
      </c>
      <c r="AB7" s="241">
        <f>IF(Y7="","",IF($Z$1="totale",SUMIF(tbl_spese_compilazione[Pagamento],Y7,tbl_spese_compilazione[Euro Lordo]),SUMIFS(tbl_spese_compilazione[Euro Lordo],tbl_spese_compilazione[Intestatario],$Z$1,tbl_spese_compilazione[Pagamento],Y7)))</f>
        <v>2309.7799999999997</v>
      </c>
      <c r="AC7" s="241">
        <f>IF(Y7="","",IF($Z$1="totale",SUMIF(tbl_rimborsi_compilazione[Pagamento],Y7,tbl_rimborsi_compilazione[Euro]),SUMIFS(tbl_rimborsi_compilazione[Euro],tbl_rimborsi_compilazione[Pagamento],Y7,tbl_rimborsi_compilazione[Intestatario],$Z$1)))</f>
        <v>891.24</v>
      </c>
      <c r="AD7" s="241">
        <f>IF(Y7="","",IF($Z$1="totale",SUMIF(tbl_risparmi_compilazione[Pagamento],Y7,tbl_risparmi_compilazione[Euro]),SUMIFS(tbl_risparmi_compilazione[Euro],tbl_risparmi_compilazione[Intestatario],$Z$1,tbl_risparmi_compilazione[Pagamento],Y7)))</f>
        <v>100</v>
      </c>
      <c r="AE7" s="241">
        <f>IF(Y7="","",IF($Z$1="totale",SUMIF(tbl_investimenti_compilazione[Pagamento],Y7,tbl_investimenti_compilazione[Euro]),SUMIFS(tbl_investimenti_compilazione[Euro],tbl_investimenti_compilazione[Intestatario],$Z$1,tbl_investimenti_compilazione[Pagamento],Y7)))</f>
        <v>0</v>
      </c>
      <c r="AF7" s="241" cm="1">
        <f t="array" ref="AF7">IF(Y7="","",(B28+Z7+AA7-AB7+AC7-AD7-AE7)+_xlfn.XLOOKUP(Y7,$A$4:$A$19,_xlfn.XLOOKUP($Z$1,$B$3:$G$3,$B$4:$G$19)))</f>
        <v>179.89000000000027</v>
      </c>
      <c r="AG7" s="216" cm="1">
        <f t="array" ref="AG7">IF(Y7="","",AF7+AD7+_xlfn.XLOOKUP(Y7,$A$25:$A$40,_xlfn.XLOOKUP($Z$1,$B$24:$G$24,$B$25:$G$40)))</f>
        <v>279.89000000000027</v>
      </c>
    </row>
    <row r="8" spans="1:33" x14ac:dyDescent="0.3">
      <c r="A8" s="207" t="str">
        <v>n26</v>
      </c>
      <c r="B8" s="237">
        <v>0</v>
      </c>
      <c r="C8" s="237">
        <v>0</v>
      </c>
      <c r="D8" s="237">
        <v>0</v>
      </c>
      <c r="E8" s="237">
        <v>0</v>
      </c>
      <c r="F8" s="237">
        <v>0</v>
      </c>
      <c r="G8" s="237">
        <v>0</v>
      </c>
      <c r="H8" s="214">
        <f t="shared" si="1"/>
        <v>0</v>
      </c>
      <c r="I8" s="57"/>
      <c r="J8" s="207" t="str">
        <v>n26</v>
      </c>
      <c r="K8" s="215">
        <v>0</v>
      </c>
      <c r="L8" s="213">
        <v>0</v>
      </c>
      <c r="M8" s="213">
        <v>0</v>
      </c>
      <c r="N8" s="213">
        <v>0</v>
      </c>
      <c r="O8" s="213">
        <v>0</v>
      </c>
      <c r="P8" s="213">
        <v>0</v>
      </c>
      <c r="Q8" s="214">
        <f t="shared" si="0"/>
        <v>0</v>
      </c>
      <c r="T8" s="207" t="str">
        <v>n26</v>
      </c>
      <c r="U8" s="215">
        <v>0</v>
      </c>
      <c r="V8" s="215">
        <v>0</v>
      </c>
      <c r="W8" s="216">
        <f t="shared" si="2"/>
        <v>0</v>
      </c>
      <c r="Y8" s="207" t="str">
        <v>n26</v>
      </c>
      <c r="Z8" s="241">
        <f>IF(Y8="","",IF($Z$1="totale",SUMIF(tbl_entrate_compilazione[Pagamento],Y8,tbl_entrate_compilazione[Euro]),SUMIFS(tbl_entrate_compilazione[Euro],tbl_entrate_compilazione[Intestatario],$Z$1,tbl_entrate_compilazione[Pagamento],Y8)))</f>
        <v>0</v>
      </c>
      <c r="AA8" s="241">
        <f>IF(Y8="","",SUMIFS(tbl_trasferimenti[importo],tbl_trasferimenti[intestatario],$Z$1,tbl_trasferimenti[conto],Y8)+SUMIFS(tbl_trasferimenti[importo2],tbl_trasferimenti[destinatario],$Z$1,tbl_trasferimenti[conto2],Y8))</f>
        <v>0</v>
      </c>
      <c r="AB8" s="241">
        <f>IF(Y8="","",IF($Z$1="totale",SUMIF(tbl_spese_compilazione[Pagamento],Y8,tbl_spese_compilazione[Euro Lordo]),SUMIFS(tbl_spese_compilazione[Euro Lordo],tbl_spese_compilazione[Intestatario],$Z$1,tbl_spese_compilazione[Pagamento],Y8)))</f>
        <v>0</v>
      </c>
      <c r="AC8" s="241">
        <f>IF(Y8="","",IF($Z$1="totale",SUMIF(tbl_rimborsi_compilazione[Pagamento],Y8,tbl_rimborsi_compilazione[Euro]),SUMIFS(tbl_rimborsi_compilazione[Euro],tbl_rimborsi_compilazione[Pagamento],Y8,tbl_rimborsi_compilazione[Intestatario],$Z$1)))</f>
        <v>0</v>
      </c>
      <c r="AD8" s="241">
        <f>IF(Y8="","",IF($Z$1="totale",SUMIF(tbl_risparmi_compilazione[Pagamento],Y8,tbl_risparmi_compilazione[Euro]),SUMIFS(tbl_risparmi_compilazione[Euro],tbl_risparmi_compilazione[Intestatario],$Z$1,tbl_risparmi_compilazione[Pagamento],Y8)))</f>
        <v>0</v>
      </c>
      <c r="AE8" s="241">
        <f>IF(Y8="","",IF($Z$1="totale",SUMIF(tbl_investimenti_compilazione[Pagamento],Y8,tbl_investimenti_compilazione[Euro]),SUMIFS(tbl_investimenti_compilazione[Euro],tbl_investimenti_compilazione[Intestatario],$Z$1,tbl_investimenti_compilazione[Pagamento],Y8)))</f>
        <v>0</v>
      </c>
      <c r="AF8" s="241" cm="1">
        <f t="array" ref="AF8">IF(Y8="","",(B29+Z8+AA8-AB8+AC8-AD8-AE8)+_xlfn.XLOOKUP(Y8,$A$4:$A$19,_xlfn.XLOOKUP($Z$1,$B$3:$G$3,$B$4:$G$19)))</f>
        <v>0</v>
      </c>
      <c r="AG8" s="216" cm="1">
        <f t="array" ref="AG8">IF(Y8="","",AF8+AD8+_xlfn.XLOOKUP(Y8,$A$25:$A$40,_xlfn.XLOOKUP($Z$1,$B$24:$G$24,$B$25:$G$40)))</f>
        <v>0</v>
      </c>
    </row>
    <row r="9" spans="1:33" x14ac:dyDescent="0.3">
      <c r="A9" s="207" t="str">
        <v>altro</v>
      </c>
      <c r="B9" s="237">
        <v>0</v>
      </c>
      <c r="C9" s="237">
        <v>0</v>
      </c>
      <c r="D9" s="237">
        <v>0</v>
      </c>
      <c r="E9" s="237">
        <v>0</v>
      </c>
      <c r="F9" s="237">
        <v>0</v>
      </c>
      <c r="G9" s="237">
        <v>0</v>
      </c>
      <c r="H9" s="214">
        <f t="shared" si="1"/>
        <v>0</v>
      </c>
      <c r="I9" s="57"/>
      <c r="J9" s="207" t="str">
        <v>altro</v>
      </c>
      <c r="K9" s="215">
        <v>0</v>
      </c>
      <c r="L9" s="213">
        <v>0</v>
      </c>
      <c r="M9" s="213">
        <v>0</v>
      </c>
      <c r="N9" s="213">
        <v>0</v>
      </c>
      <c r="O9" s="213">
        <v>0</v>
      </c>
      <c r="P9" s="213">
        <v>0</v>
      </c>
      <c r="Q9" s="214">
        <f t="shared" si="0"/>
        <v>0</v>
      </c>
      <c r="T9" s="207" t="str">
        <v>altro</v>
      </c>
      <c r="U9" s="215">
        <v>0</v>
      </c>
      <c r="V9" s="215">
        <v>0</v>
      </c>
      <c r="W9" s="216">
        <f t="shared" si="2"/>
        <v>0</v>
      </c>
      <c r="Y9" s="207" t="str">
        <v>altro</v>
      </c>
      <c r="Z9" s="241">
        <f>IF(Y9="","",IF($Z$1="totale",SUMIF(tbl_entrate_compilazione[Pagamento],Y9,tbl_entrate_compilazione[Euro]),SUMIFS(tbl_entrate_compilazione[Euro],tbl_entrate_compilazione[Intestatario],$Z$1,tbl_entrate_compilazione[Pagamento],Y9)))</f>
        <v>0</v>
      </c>
      <c r="AA9" s="241">
        <f>IF(Y9="","",SUMIFS(tbl_trasferimenti[importo],tbl_trasferimenti[intestatario],$Z$1,tbl_trasferimenti[conto],Y9)+SUMIFS(tbl_trasferimenti[importo2],tbl_trasferimenti[destinatario],$Z$1,tbl_trasferimenti[conto2],Y9))</f>
        <v>0</v>
      </c>
      <c r="AB9" s="241">
        <f>IF(Y9="","",IF($Z$1="totale",SUMIF(tbl_spese_compilazione[Pagamento],Y9,tbl_spese_compilazione[Euro Lordo]),SUMIFS(tbl_spese_compilazione[Euro Lordo],tbl_spese_compilazione[Intestatario],$Z$1,tbl_spese_compilazione[Pagamento],Y9)))</f>
        <v>0</v>
      </c>
      <c r="AC9" s="241">
        <f>IF(Y9="","",IF($Z$1="totale",SUMIF(tbl_rimborsi_compilazione[Pagamento],Y9,tbl_rimborsi_compilazione[Euro]),SUMIFS(tbl_rimborsi_compilazione[Euro],tbl_rimborsi_compilazione[Pagamento],Y9,tbl_rimborsi_compilazione[Intestatario],$Z$1)))</f>
        <v>0</v>
      </c>
      <c r="AD9" s="241">
        <f>IF(Y9="","",IF($Z$1="totale",SUMIF(tbl_risparmi_compilazione[Pagamento],Y9,tbl_risparmi_compilazione[Euro]),SUMIFS(tbl_risparmi_compilazione[Euro],tbl_risparmi_compilazione[Intestatario],$Z$1,tbl_risparmi_compilazione[Pagamento],Y9)))</f>
        <v>0</v>
      </c>
      <c r="AE9" s="241">
        <f>IF(Y9="","",IF($Z$1="totale",SUMIF(tbl_investimenti_compilazione[Pagamento],Y9,tbl_investimenti_compilazione[Euro]),SUMIFS(tbl_investimenti_compilazione[Euro],tbl_investimenti_compilazione[Intestatario],$Z$1,tbl_investimenti_compilazione[Pagamento],Y9)))</f>
        <v>0</v>
      </c>
      <c r="AF9" s="241" cm="1">
        <f t="array" ref="AF9">IF(Y9="","",(B30+Z9+AA9-AB9+AC9-AD9-AE9)+_xlfn.XLOOKUP(Y9,$A$4:$A$19,_xlfn.XLOOKUP($Z$1,$B$3:$G$3,$B$4:$G$19)))</f>
        <v>0</v>
      </c>
      <c r="AG9" s="216" cm="1">
        <f t="array" ref="AG9">IF(Y9="","",AF9+AD9+_xlfn.XLOOKUP(Y9,$A$25:$A$40,_xlfn.XLOOKUP($Z$1,$B$24:$G$24,$B$25:$G$40)))</f>
        <v>0</v>
      </c>
    </row>
    <row r="10" spans="1:33" x14ac:dyDescent="0.3">
      <c r="A10" s="207"/>
      <c r="B10" s="238"/>
      <c r="C10" s="238"/>
      <c r="D10" s="238"/>
      <c r="E10" s="238"/>
      <c r="F10" s="238"/>
      <c r="G10" s="238"/>
      <c r="H10" s="214" t="str">
        <f t="shared" si="1"/>
        <v/>
      </c>
      <c r="I10" s="34"/>
      <c r="J10" s="207"/>
      <c r="Q10" s="217"/>
      <c r="T10" s="207"/>
      <c r="U10" s="215" t="str" cm="1">
        <f t="array" ref="U10">IFERROR(_xlfn.XLOOKUP($U$1,$K$3:$Q$3,_xlfn.XLOOKUP(T10,_xlfn.ANCHORARRAY($J$4),$K$4:$Q$9,""),""),"")</f>
        <v/>
      </c>
      <c r="W10" s="216" t="str">
        <f t="shared" si="2"/>
        <v/>
      </c>
      <c r="Y10" s="207"/>
      <c r="Z10" s="241" t="str">
        <f>IF(Y10="","",IF($Z$1="totale",SUMIF(tbl_entrate_compilazione[Pagamento],Y10,tbl_entrate_compilazione[Euro]),SUMIFS(tbl_entrate_compilazione[Euro],tbl_entrate_compilazione[Intestatario],$Z$1,tbl_entrate_compilazione[Pagamento],Y10)))</f>
        <v/>
      </c>
      <c r="AA10" s="241" t="str">
        <f>IF(Y10="","",SUMIFS(tbl_trasferimenti[importo],tbl_trasferimenti[intestatario],$Z$1,tbl_trasferimenti[conto],Y10)+SUMIFS(tbl_trasferimenti[importo2],tbl_trasferimenti[destinatario],$Z$1,tbl_trasferimenti[conto2],Y10))</f>
        <v/>
      </c>
      <c r="AB10" s="241" t="str">
        <f>IF(Y10="","",IF($Z$1="totale",SUMIF(tbl_spese_compilazione[Pagamento],Y10,tbl_spese_compilazione[Euro Lordo]),SUMIFS(tbl_spese_compilazione[Euro Lordo],tbl_spese_compilazione[Intestatario],$Z$1,tbl_spese_compilazione[Pagamento],Y10)))</f>
        <v/>
      </c>
      <c r="AC10" s="241" t="str">
        <f>IF(Y10="","",IF($Z$1="totale",SUMIF(tbl_rimborsi_compilazione[Pagamento],Y10,tbl_rimborsi_compilazione[Euro]),SUMIFS(tbl_rimborsi_compilazione[Euro],tbl_rimborsi_compilazione[Pagamento],Y10,tbl_rimborsi_compilazione[Intestatario],$Z$1)))</f>
        <v/>
      </c>
      <c r="AD10" s="241" t="str">
        <f>IF(Y10="","",IF($Z$1="totale",SUMIF(tbl_risparmi_compilazione[Pagamento],Y10,tbl_risparmi_compilazione[Euro]),SUMIFS(tbl_risparmi_compilazione[Euro],tbl_risparmi_compilazione[Intestatario],$Z$1,tbl_risparmi_compilazione[Pagamento],Y10)))</f>
        <v/>
      </c>
      <c r="AE10" s="241" t="str">
        <f>IF(Y10="","",IF($Z$1="totale",SUMIF(tbl_investimenti_compilazione[Pagamento],Y10,tbl_investimenti_compilazione[Euro]),SUMIFS(tbl_investimenti_compilazione[Euro],tbl_investimenti_compilazione[Intestatario],$Z$1,tbl_investimenti_compilazione[Pagamento],Y10)))</f>
        <v/>
      </c>
      <c r="AF10" s="241" t="str" cm="1">
        <f t="array" ref="AF10">IF(Y10="","",(B31+Z10+AA10-AB10+AC10-AD10-AE10)+_xlfn.XLOOKUP(Y10,$A$4:$A$19,_xlfn.XLOOKUP($Z$1,$B$3:$G$3,$B$4:$G$19)))</f>
        <v/>
      </c>
      <c r="AG10" s="216" t="str" cm="1">
        <f t="array" ref="AG10">IF(Y10="","",AF10+AD10+_xlfn.XLOOKUP(Y10,$A$25:$A$40,_xlfn.XLOOKUP($Z$1,$B$24:$G$24,$B$25:$G$40)))</f>
        <v/>
      </c>
    </row>
    <row r="11" spans="1:33" x14ac:dyDescent="0.3">
      <c r="A11" s="207"/>
      <c r="B11" s="238"/>
      <c r="C11" s="238"/>
      <c r="D11" s="238"/>
      <c r="E11" s="238"/>
      <c r="F11" s="238"/>
      <c r="G11" s="238"/>
      <c r="H11" s="214" t="str">
        <f t="shared" si="1"/>
        <v/>
      </c>
      <c r="I11" s="34"/>
      <c r="J11" s="207"/>
      <c r="Q11" s="217"/>
      <c r="T11" s="207"/>
      <c r="U11" s="215" t="str" cm="1">
        <f t="array" ref="U11">IFERROR(_xlfn.XLOOKUP($U$1,$K$3:$Q$3,_xlfn.XLOOKUP(T11,_xlfn.ANCHORARRAY($J$4),$K$4:$Q$9,""),""),"")</f>
        <v/>
      </c>
      <c r="W11" s="216" t="str">
        <f t="shared" si="2"/>
        <v/>
      </c>
      <c r="Y11" s="207"/>
      <c r="Z11" s="241" t="str">
        <f>IF(Y11="","",IF($Z$1="totale",SUMIF(tbl_entrate_compilazione[Pagamento],Y11,tbl_entrate_compilazione[Euro]),SUMIFS(tbl_entrate_compilazione[Euro],tbl_entrate_compilazione[Intestatario],$Z$1,tbl_entrate_compilazione[Pagamento],Y11)))</f>
        <v/>
      </c>
      <c r="AA11" s="241" t="str">
        <f>IF(Y11="","",SUMIFS(tbl_trasferimenti[importo],tbl_trasferimenti[intestatario],$Z$1,tbl_trasferimenti[conto],Y11)+SUMIFS(tbl_trasferimenti[importo2],tbl_trasferimenti[destinatario],$Z$1,tbl_trasferimenti[conto2],Y11))</f>
        <v/>
      </c>
      <c r="AB11" s="241" t="str">
        <f>IF(Y11="","",IF($Z$1="totale",SUMIF(tbl_spese_compilazione[Pagamento],Y11,tbl_spese_compilazione[Euro Lordo]),SUMIFS(tbl_spese_compilazione[Euro Lordo],tbl_spese_compilazione[Intestatario],$Z$1,tbl_spese_compilazione[Pagamento],Y11)))</f>
        <v/>
      </c>
      <c r="AC11" s="241" t="str">
        <f>IF(Y11="","",IF($Z$1="totale",SUMIF(tbl_rimborsi_compilazione[Pagamento],Y11,tbl_rimborsi_compilazione[Euro]),SUMIFS(tbl_rimborsi_compilazione[Euro],tbl_rimborsi_compilazione[Pagamento],Y11,tbl_rimborsi_compilazione[Intestatario],$Z$1)))</f>
        <v/>
      </c>
      <c r="AD11" s="241" t="str">
        <f>IF(Y11="","",IF($Z$1="totale",SUMIF(tbl_risparmi_compilazione[Pagamento],Y11,tbl_risparmi_compilazione[Euro]),SUMIFS(tbl_risparmi_compilazione[Euro],tbl_risparmi_compilazione[Intestatario],$Z$1,tbl_risparmi_compilazione[Pagamento],Y11)))</f>
        <v/>
      </c>
      <c r="AE11" s="241" t="str">
        <f>IF(Y11="","",IF($Z$1="totale",SUMIF(tbl_investimenti_compilazione[Pagamento],Y11,tbl_investimenti_compilazione[Euro]),SUMIFS(tbl_investimenti_compilazione[Euro],tbl_investimenti_compilazione[Intestatario],$Z$1,tbl_investimenti_compilazione[Pagamento],Y11)))</f>
        <v/>
      </c>
      <c r="AF11" s="241" t="str" cm="1">
        <f t="array" ref="AF11">IF(Y11="","",(B32+Z11+AA11-AB11+AC11-AD11-AE11)+_xlfn.XLOOKUP(Y11,$A$4:$A$19,_xlfn.XLOOKUP($Z$1,$B$3:$G$3,$B$4:$G$19)))</f>
        <v/>
      </c>
      <c r="AG11" s="216" t="str" cm="1">
        <f t="array" ref="AG11">IF(Y11="","",AF11+AD11+_xlfn.XLOOKUP(Y11,$A$25:$A$40,_xlfn.XLOOKUP($Z$1,$B$24:$G$24,$B$25:$G$40)))</f>
        <v/>
      </c>
    </row>
    <row r="12" spans="1:33" x14ac:dyDescent="0.3">
      <c r="A12" s="207"/>
      <c r="B12" s="238"/>
      <c r="C12" s="238"/>
      <c r="D12" s="238"/>
      <c r="E12" s="238"/>
      <c r="F12" s="238"/>
      <c r="G12" s="238"/>
      <c r="H12" s="214" t="str">
        <f t="shared" si="1"/>
        <v/>
      </c>
      <c r="I12" s="34"/>
      <c r="J12" s="207"/>
      <c r="Q12" s="217"/>
      <c r="T12" s="207"/>
      <c r="U12" s="215" t="str" cm="1">
        <f t="array" ref="U12">IFERROR(_xlfn.XLOOKUP($U$1,$K$3:$Q$3,_xlfn.XLOOKUP(T12,_xlfn.ANCHORARRAY($J$4),$K$4:$Q$9,""),""),"")</f>
        <v/>
      </c>
      <c r="W12" s="216" t="str">
        <f t="shared" si="2"/>
        <v/>
      </c>
      <c r="Y12" s="207"/>
      <c r="Z12" s="241" t="str">
        <f>IF(Y12="","",IF($Z$1="totale",SUMIF(tbl_entrate_compilazione[Pagamento],Y12,tbl_entrate_compilazione[Euro]),SUMIFS(tbl_entrate_compilazione[Euro],tbl_entrate_compilazione[Intestatario],$Z$1,tbl_entrate_compilazione[Pagamento],Y12)))</f>
        <v/>
      </c>
      <c r="AA12" s="241" t="str">
        <f>IF(Y12="","",SUMIFS(tbl_trasferimenti[importo],tbl_trasferimenti[intestatario],$Z$1,tbl_trasferimenti[conto],Y12)+SUMIFS(tbl_trasferimenti[importo2],tbl_trasferimenti[destinatario],$Z$1,tbl_trasferimenti[conto2],Y12))</f>
        <v/>
      </c>
      <c r="AB12" s="241" t="str">
        <f>IF(Y12="","",IF($Z$1="totale",SUMIF(tbl_spese_compilazione[Pagamento],Y12,tbl_spese_compilazione[Euro Lordo]),SUMIFS(tbl_spese_compilazione[Euro Lordo],tbl_spese_compilazione[Intestatario],$Z$1,tbl_spese_compilazione[Pagamento],Y12)))</f>
        <v/>
      </c>
      <c r="AC12" s="241" t="str">
        <f>IF(Y12="","",IF($Z$1="totale",SUMIF(tbl_rimborsi_compilazione[Pagamento],Y12,tbl_rimborsi_compilazione[Euro]),SUMIFS(tbl_rimborsi_compilazione[Euro],tbl_rimborsi_compilazione[Pagamento],Y12,tbl_rimborsi_compilazione[Intestatario],$Z$1)))</f>
        <v/>
      </c>
      <c r="AD12" s="241" t="str">
        <f>IF(Y12="","",IF($Z$1="totale",SUMIF(tbl_risparmi_compilazione[Pagamento],Y12,tbl_risparmi_compilazione[Euro]),SUMIFS(tbl_risparmi_compilazione[Euro],tbl_risparmi_compilazione[Intestatario],$Z$1,tbl_risparmi_compilazione[Pagamento],Y12)))</f>
        <v/>
      </c>
      <c r="AE12" s="241" t="str">
        <f>IF(Y12="","",IF($Z$1="totale",SUMIF(tbl_investimenti_compilazione[Pagamento],Y12,tbl_investimenti_compilazione[Euro]),SUMIFS(tbl_investimenti_compilazione[Euro],tbl_investimenti_compilazione[Intestatario],$Z$1,tbl_investimenti_compilazione[Pagamento],Y12)))</f>
        <v/>
      </c>
      <c r="AF12" s="241" t="str" cm="1">
        <f t="array" ref="AF12">IF(Y12="","",(B33+Z12+AA12-AB12+AC12-AD12-AE12)+_xlfn.XLOOKUP(Y12,$A$4:$A$19,_xlfn.XLOOKUP($Z$1,$B$3:$G$3,$B$4:$G$19)))</f>
        <v/>
      </c>
      <c r="AG12" s="216" t="str" cm="1">
        <f t="array" ref="AG12">IF(Y12="","",AF12+AD12+_xlfn.XLOOKUP(Y12,$A$25:$A$40,_xlfn.XLOOKUP($Z$1,$B$24:$G$24,$B$25:$G$40)))</f>
        <v/>
      </c>
    </row>
    <row r="13" spans="1:33" x14ac:dyDescent="0.3">
      <c r="A13" s="207"/>
      <c r="B13" s="238"/>
      <c r="C13" s="238"/>
      <c r="D13" s="238"/>
      <c r="E13" s="238"/>
      <c r="F13" s="238"/>
      <c r="G13" s="238"/>
      <c r="H13" s="214" t="str">
        <f t="shared" si="1"/>
        <v/>
      </c>
      <c r="I13" s="34"/>
      <c r="J13" s="207"/>
      <c r="Q13" s="217"/>
      <c r="T13" s="207"/>
      <c r="U13" s="215" t="str" cm="1">
        <f t="array" ref="U13">IFERROR(_xlfn.XLOOKUP($U$1,$K$3:$Q$3,_xlfn.XLOOKUP(T13,_xlfn.ANCHORARRAY($J$4),$K$4:$Q$9,""),""),"")</f>
        <v/>
      </c>
      <c r="W13" s="216" t="str">
        <f t="shared" si="2"/>
        <v/>
      </c>
      <c r="Y13" s="207"/>
      <c r="Z13" s="241" t="str">
        <f>IF(Y13="","",IF($Z$1="totale",SUMIF(tbl_entrate_compilazione[Pagamento],Y13,tbl_entrate_compilazione[Euro]),SUMIFS(tbl_entrate_compilazione[Euro],tbl_entrate_compilazione[Intestatario],$Z$1,tbl_entrate_compilazione[Pagamento],Y13)))</f>
        <v/>
      </c>
      <c r="AA13" s="241" t="str">
        <f>IF(Y13="","",SUMIFS(tbl_trasferimenti[importo],tbl_trasferimenti[intestatario],$Z$1,tbl_trasferimenti[conto],Y13)+SUMIFS(tbl_trasferimenti[importo2],tbl_trasferimenti[destinatario],$Z$1,tbl_trasferimenti[conto2],Y13))</f>
        <v/>
      </c>
      <c r="AB13" s="241" t="str">
        <f>IF(Y13="","",IF($Z$1="totale",SUMIF(tbl_spese_compilazione[Pagamento],Y13,tbl_spese_compilazione[Euro Lordo]),SUMIFS(tbl_spese_compilazione[Euro Lordo],tbl_spese_compilazione[Intestatario],$Z$1,tbl_spese_compilazione[Pagamento],Y13)))</f>
        <v/>
      </c>
      <c r="AC13" s="241" t="str">
        <f>IF(Y13="","",IF($Z$1="totale",SUMIF(tbl_rimborsi_compilazione[Pagamento],Y13,tbl_rimborsi_compilazione[Euro]),SUMIFS(tbl_rimborsi_compilazione[Euro],tbl_rimborsi_compilazione[Pagamento],Y13,tbl_rimborsi_compilazione[Intestatario],$Z$1)))</f>
        <v/>
      </c>
      <c r="AD13" s="241" t="str">
        <f>IF(Y13="","",IF($Z$1="totale",SUMIF(tbl_risparmi_compilazione[Pagamento],Y13,tbl_risparmi_compilazione[Euro]),SUMIFS(tbl_risparmi_compilazione[Euro],tbl_risparmi_compilazione[Intestatario],$Z$1,tbl_risparmi_compilazione[Pagamento],Y13)))</f>
        <v/>
      </c>
      <c r="AE13" s="241" t="str">
        <f>IF(Y13="","",IF($Z$1="totale",SUMIF(tbl_investimenti_compilazione[Pagamento],Y13,tbl_investimenti_compilazione[Euro]),SUMIFS(tbl_investimenti_compilazione[Euro],tbl_investimenti_compilazione[Intestatario],$Z$1,tbl_investimenti_compilazione[Pagamento],Y13)))</f>
        <v/>
      </c>
      <c r="AF13" s="241" t="str" cm="1">
        <f t="array" ref="AF13">IF(Y13="","",(B34+Z13+AA13-AB13+AC13-AD13-AE13)+_xlfn.XLOOKUP(Y13,$A$4:$A$19,_xlfn.XLOOKUP($Z$1,$B$3:$G$3,$B$4:$G$19)))</f>
        <v/>
      </c>
      <c r="AG13" s="216" t="str" cm="1">
        <f t="array" ref="AG13">IF(Y13="","",AF13+AD13+_xlfn.XLOOKUP(Y13,$A$25:$A$40,_xlfn.XLOOKUP($Z$1,$B$24:$G$24,$B$25:$G$40)))</f>
        <v/>
      </c>
    </row>
    <row r="14" spans="1:33" x14ac:dyDescent="0.3">
      <c r="A14" s="207"/>
      <c r="B14" s="238"/>
      <c r="C14" s="238"/>
      <c r="D14" s="238"/>
      <c r="E14" s="238"/>
      <c r="F14" s="238"/>
      <c r="G14" s="238"/>
      <c r="H14" s="214" t="str">
        <f t="shared" si="1"/>
        <v/>
      </c>
      <c r="I14" s="34"/>
      <c r="J14" s="207"/>
      <c r="Q14" s="217"/>
      <c r="T14" s="207"/>
      <c r="U14" s="215" t="str" cm="1">
        <f t="array" ref="U14">IFERROR(_xlfn.XLOOKUP($U$1,$K$3:$Q$3,_xlfn.XLOOKUP(T14,_xlfn.ANCHORARRAY($J$4),$K$4:$Q$9,""),""),"")</f>
        <v/>
      </c>
      <c r="W14" s="216" t="str">
        <f t="shared" si="2"/>
        <v/>
      </c>
      <c r="Y14" s="207"/>
      <c r="Z14" s="241" t="str">
        <f>IF(Y14="","",IF($Z$1="totale",SUMIF(tbl_entrate_compilazione[Pagamento],Y14,tbl_entrate_compilazione[Euro]),SUMIFS(tbl_entrate_compilazione[Euro],tbl_entrate_compilazione[Intestatario],$Z$1,tbl_entrate_compilazione[Pagamento],Y14)))</f>
        <v/>
      </c>
      <c r="AA14" s="241" t="str">
        <f>IF(Y14="","",SUMIFS(tbl_trasferimenti[importo],tbl_trasferimenti[intestatario],$Z$1,tbl_trasferimenti[conto],Y14)+SUMIFS(tbl_trasferimenti[importo2],tbl_trasferimenti[destinatario],$Z$1,tbl_trasferimenti[conto2],Y14))</f>
        <v/>
      </c>
      <c r="AB14" s="241" t="str">
        <f>IF(Y14="","",IF($Z$1="totale",SUMIF(tbl_spese_compilazione[Pagamento],Y14,tbl_spese_compilazione[Euro Lordo]),SUMIFS(tbl_spese_compilazione[Euro Lordo],tbl_spese_compilazione[Intestatario],$Z$1,tbl_spese_compilazione[Pagamento],Y14)))</f>
        <v/>
      </c>
      <c r="AC14" s="241" t="str">
        <f>IF(Y14="","",IF($Z$1="totale",SUMIF(tbl_rimborsi_compilazione[Pagamento],Y14,tbl_rimborsi_compilazione[Euro]),SUMIFS(tbl_rimborsi_compilazione[Euro],tbl_rimborsi_compilazione[Pagamento],Y14,tbl_rimborsi_compilazione[Intestatario],$Z$1)))</f>
        <v/>
      </c>
      <c r="AD14" s="241" t="str">
        <f>IF(Y14="","",IF($Z$1="totale",SUMIF(tbl_risparmi_compilazione[Pagamento],Y14,tbl_risparmi_compilazione[Euro]),SUMIFS(tbl_risparmi_compilazione[Euro],tbl_risparmi_compilazione[Intestatario],$Z$1,tbl_risparmi_compilazione[Pagamento],Y14)))</f>
        <v/>
      </c>
      <c r="AE14" s="241" t="str">
        <f>IF(Y14="","",IF($Z$1="totale",SUMIF(tbl_investimenti_compilazione[Pagamento],Y14,tbl_investimenti_compilazione[Euro]),SUMIFS(tbl_investimenti_compilazione[Euro],tbl_investimenti_compilazione[Intestatario],$Z$1,tbl_investimenti_compilazione[Pagamento],Y14)))</f>
        <v/>
      </c>
      <c r="AF14" s="241" t="str" cm="1">
        <f t="array" ref="AF14">IF(Y14="","",(B35+Z14+AA14-AB14+AC14-AD14-AE14)+_xlfn.XLOOKUP(Y14,$A$4:$A$19,_xlfn.XLOOKUP($Z$1,$B$3:$G$3,$B$4:$G$19)))</f>
        <v/>
      </c>
      <c r="AG14" s="216" t="str" cm="1">
        <f t="array" ref="AG14">IF(Y14="","",AF14+AD14+_xlfn.XLOOKUP(Y14,$A$25:$A$40,_xlfn.XLOOKUP($Z$1,$B$24:$G$24,$B$25:$G$40)))</f>
        <v/>
      </c>
    </row>
    <row r="15" spans="1:33" x14ac:dyDescent="0.3">
      <c r="A15" s="207"/>
      <c r="B15" s="238"/>
      <c r="C15" s="238"/>
      <c r="D15" s="238"/>
      <c r="E15" s="238"/>
      <c r="F15" s="238"/>
      <c r="G15" s="238"/>
      <c r="H15" s="214" t="str">
        <f t="shared" si="1"/>
        <v/>
      </c>
      <c r="I15" s="34"/>
      <c r="J15" s="207"/>
      <c r="Q15" s="217"/>
      <c r="T15" s="207"/>
      <c r="U15" s="215" t="str" cm="1">
        <f t="array" ref="U15">IFERROR(_xlfn.XLOOKUP($U$1,$K$3:$Q$3,_xlfn.XLOOKUP(T15,_xlfn.ANCHORARRAY($J$4),$K$4:$Q$9,""),""),"")</f>
        <v/>
      </c>
      <c r="W15" s="216" t="str">
        <f t="shared" si="2"/>
        <v/>
      </c>
      <c r="Y15" s="207"/>
      <c r="Z15" s="241" t="str">
        <f>IF(Y15="","",IF($Z$1="totale",SUMIF(tbl_entrate_compilazione[Pagamento],Y15,tbl_entrate_compilazione[Euro]),SUMIFS(tbl_entrate_compilazione[Euro],tbl_entrate_compilazione[Intestatario],$Z$1,tbl_entrate_compilazione[Pagamento],Y15)))</f>
        <v/>
      </c>
      <c r="AA15" s="241" t="str">
        <f>IF(Y15="","",SUMIFS(tbl_trasferimenti[importo],tbl_trasferimenti[intestatario],$Z$1,tbl_trasferimenti[conto],Y15)+SUMIFS(tbl_trasferimenti[importo2],tbl_trasferimenti[destinatario],$Z$1,tbl_trasferimenti[conto2],Y15))</f>
        <v/>
      </c>
      <c r="AB15" s="241" t="str">
        <f>IF(Y15="","",IF($Z$1="totale",SUMIF(tbl_spese_compilazione[Pagamento],Y15,tbl_spese_compilazione[Euro Lordo]),SUMIFS(tbl_spese_compilazione[Euro Lordo],tbl_spese_compilazione[Intestatario],$Z$1,tbl_spese_compilazione[Pagamento],Y15)))</f>
        <v/>
      </c>
      <c r="AC15" s="241" t="str">
        <f>IF(Y15="","",IF($Z$1="totale",SUMIF(tbl_rimborsi_compilazione[Pagamento],Y15,tbl_rimborsi_compilazione[Euro]),SUMIFS(tbl_rimborsi_compilazione[Euro],tbl_rimborsi_compilazione[Pagamento],Y15,tbl_rimborsi_compilazione[Intestatario],$Z$1)))</f>
        <v/>
      </c>
      <c r="AD15" s="241" t="str">
        <f>IF(Y15="","",IF($Z$1="totale",SUMIF(tbl_risparmi_compilazione[Pagamento],Y15,tbl_risparmi_compilazione[Euro]),SUMIFS(tbl_risparmi_compilazione[Euro],tbl_risparmi_compilazione[Intestatario],$Z$1,tbl_risparmi_compilazione[Pagamento],Y15)))</f>
        <v/>
      </c>
      <c r="AE15" s="241" t="str">
        <f>IF(Y15="","",IF($Z$1="totale",SUMIF(tbl_investimenti_compilazione[Pagamento],Y15,tbl_investimenti_compilazione[Euro]),SUMIFS(tbl_investimenti_compilazione[Euro],tbl_investimenti_compilazione[Intestatario],$Z$1,tbl_investimenti_compilazione[Pagamento],Y15)))</f>
        <v/>
      </c>
      <c r="AF15" s="241" t="str" cm="1">
        <f t="array" ref="AF15">IF(Y15="","",(B36+Z15+AA15-AB15+AC15-AD15-AE15)+_xlfn.XLOOKUP(Y15,$A$4:$A$19,_xlfn.XLOOKUP($Z$1,$B$3:$G$3,$B$4:$G$19)))</f>
        <v/>
      </c>
      <c r="AG15" s="216" t="str" cm="1">
        <f t="array" ref="AG15">IF(Y15="","",AF15+AD15+_xlfn.XLOOKUP(Y15,$A$25:$A$40,_xlfn.XLOOKUP($Z$1,$B$24:$G$24,$B$25:$G$40)))</f>
        <v/>
      </c>
    </row>
    <row r="16" spans="1:33" x14ac:dyDescent="0.3">
      <c r="A16" s="207"/>
      <c r="B16" s="238"/>
      <c r="C16" s="238"/>
      <c r="D16" s="238"/>
      <c r="E16" s="238"/>
      <c r="F16" s="238"/>
      <c r="G16" s="238"/>
      <c r="H16" s="214" t="str">
        <f t="shared" si="1"/>
        <v/>
      </c>
      <c r="I16" s="34"/>
      <c r="J16" s="207"/>
      <c r="Q16" s="217"/>
      <c r="T16" s="207"/>
      <c r="U16" s="215" t="str" cm="1">
        <f t="array" ref="U16">IFERROR(_xlfn.XLOOKUP($U$1,$K$3:$Q$3,_xlfn.XLOOKUP(T16,_xlfn.ANCHORARRAY($J$4),$K$4:$Q$9,""),""),"")</f>
        <v/>
      </c>
      <c r="W16" s="216" t="str">
        <f t="shared" si="2"/>
        <v/>
      </c>
      <c r="Y16" s="207"/>
      <c r="Z16" s="241" t="str">
        <f>IF(Y16="","",IF($Z$1="totale",SUMIF(tbl_entrate_compilazione[Pagamento],Y16,tbl_entrate_compilazione[Euro]),SUMIFS(tbl_entrate_compilazione[Euro],tbl_entrate_compilazione[Intestatario],$Z$1,tbl_entrate_compilazione[Pagamento],Y16)))</f>
        <v/>
      </c>
      <c r="AA16" s="241" t="str">
        <f>IF(Y16="","",SUMIFS(tbl_trasferimenti[importo],tbl_trasferimenti[intestatario],$Z$1,tbl_trasferimenti[conto],Y16)+SUMIFS(tbl_trasferimenti[importo2],tbl_trasferimenti[destinatario],$Z$1,tbl_trasferimenti[conto2],Y16))</f>
        <v/>
      </c>
      <c r="AB16" s="241" t="str">
        <f>IF(Y16="","",IF($Z$1="totale",SUMIF(tbl_spese_compilazione[Pagamento],Y16,tbl_spese_compilazione[Euro Lordo]),SUMIFS(tbl_spese_compilazione[Euro Lordo],tbl_spese_compilazione[Intestatario],$Z$1,tbl_spese_compilazione[Pagamento],Y16)))</f>
        <v/>
      </c>
      <c r="AC16" s="241" t="str">
        <f>IF(Y16="","",IF($Z$1="totale",SUMIF(tbl_rimborsi_compilazione[Pagamento],Y16,tbl_rimborsi_compilazione[Euro]),SUMIFS(tbl_rimborsi_compilazione[Euro],tbl_rimborsi_compilazione[Pagamento],Y16,tbl_rimborsi_compilazione[Intestatario],$Z$1)))</f>
        <v/>
      </c>
      <c r="AD16" s="241" t="str">
        <f>IF(Y16="","",IF($Z$1="totale",SUMIF(tbl_risparmi_compilazione[Pagamento],Y16,tbl_risparmi_compilazione[Euro]),SUMIFS(tbl_risparmi_compilazione[Euro],tbl_risparmi_compilazione[Intestatario],$Z$1,tbl_risparmi_compilazione[Pagamento],Y16)))</f>
        <v/>
      </c>
      <c r="AE16" s="241" t="str">
        <f>IF(Y16="","",IF($Z$1="totale",SUMIF(tbl_investimenti_compilazione[Pagamento],Y16,tbl_investimenti_compilazione[Euro]),SUMIFS(tbl_investimenti_compilazione[Euro],tbl_investimenti_compilazione[Intestatario],$Z$1,tbl_investimenti_compilazione[Pagamento],Y16)))</f>
        <v/>
      </c>
      <c r="AF16" s="241" t="str" cm="1">
        <f t="array" ref="AF16">IF(Y16="","",(B37+Z16+AA16-AB16+AC16-AD16-AE16)+_xlfn.XLOOKUP(Y16,$A$4:$A$19,_xlfn.XLOOKUP($Z$1,$B$3:$G$3,$B$4:$G$19)))</f>
        <v/>
      </c>
      <c r="AG16" s="216" t="str" cm="1">
        <f t="array" ref="AG16">IF(Y16="","",AF16+AD16+_xlfn.XLOOKUP(Y16,$A$25:$A$40,_xlfn.XLOOKUP($Z$1,$B$24:$G$24,$B$25:$G$40)))</f>
        <v/>
      </c>
    </row>
    <row r="17" spans="1:33" x14ac:dyDescent="0.3">
      <c r="A17" s="207"/>
      <c r="B17" s="238"/>
      <c r="C17" s="238"/>
      <c r="D17" s="238"/>
      <c r="E17" s="238"/>
      <c r="F17" s="238"/>
      <c r="G17" s="238"/>
      <c r="H17" s="214" t="str">
        <f t="shared" si="1"/>
        <v/>
      </c>
      <c r="I17" s="34"/>
      <c r="J17" s="207"/>
      <c r="Q17" s="217"/>
      <c r="T17" s="207"/>
      <c r="U17" s="215" t="str" cm="1">
        <f t="array" ref="U17">IFERROR(_xlfn.XLOOKUP($U$1,$K$3:$Q$3,_xlfn.XLOOKUP(T17,_xlfn.ANCHORARRAY($J$4),$K$4:$Q$9,""),""),"")</f>
        <v/>
      </c>
      <c r="W17" s="216" t="str">
        <f t="shared" si="2"/>
        <v/>
      </c>
      <c r="Y17" s="207"/>
      <c r="Z17" s="241" t="str">
        <f>IF(Y17="","",IF($Z$1="totale",SUMIF(tbl_entrate_compilazione[Pagamento],Y17,tbl_entrate_compilazione[Euro]),SUMIFS(tbl_entrate_compilazione[Euro],tbl_entrate_compilazione[Intestatario],$Z$1,tbl_entrate_compilazione[Pagamento],Y17)))</f>
        <v/>
      </c>
      <c r="AA17" s="241" t="str">
        <f>IF(Y17="","",SUMIFS(tbl_trasferimenti[importo],tbl_trasferimenti[intestatario],$Z$1,tbl_trasferimenti[conto],Y17)+SUMIFS(tbl_trasferimenti[importo2],tbl_trasferimenti[destinatario],$Z$1,tbl_trasferimenti[conto2],Y17))</f>
        <v/>
      </c>
      <c r="AB17" s="241" t="str">
        <f>IF(Y17="","",IF($Z$1="totale",SUMIF(tbl_spese_compilazione[Pagamento],Y17,tbl_spese_compilazione[Euro Lordo]),SUMIFS(tbl_spese_compilazione[Euro Lordo],tbl_spese_compilazione[Intestatario],$Z$1,tbl_spese_compilazione[Pagamento],Y17)))</f>
        <v/>
      </c>
      <c r="AC17" s="241" t="str">
        <f>IF(Y17="","",IF($Z$1="totale",SUMIF(tbl_rimborsi_compilazione[Pagamento],Y17,tbl_rimborsi_compilazione[Euro]),SUMIFS(tbl_rimborsi_compilazione[Euro],tbl_rimborsi_compilazione[Pagamento],Y17,tbl_rimborsi_compilazione[Intestatario],$Z$1)))</f>
        <v/>
      </c>
      <c r="AD17" s="241" t="str">
        <f>IF(Y17="","",IF($Z$1="totale",SUMIF(tbl_risparmi_compilazione[Pagamento],Y17,tbl_risparmi_compilazione[Euro]),SUMIFS(tbl_risparmi_compilazione[Euro],tbl_risparmi_compilazione[Intestatario],$Z$1,tbl_risparmi_compilazione[Pagamento],Y17)))</f>
        <v/>
      </c>
      <c r="AE17" s="241" t="str">
        <f>IF(Y17="","",IF($Z$1="totale",SUMIF(tbl_investimenti_compilazione[Pagamento],Y17,tbl_investimenti_compilazione[Euro]),SUMIFS(tbl_investimenti_compilazione[Euro],tbl_investimenti_compilazione[Intestatario],$Z$1,tbl_investimenti_compilazione[Pagamento],Y17)))</f>
        <v/>
      </c>
      <c r="AF17" s="241" t="str" cm="1">
        <f t="array" ref="AF17">IF(Y17="","",(B38+Z17+AA17-AB17+AC17-AD17-AE17)+_xlfn.XLOOKUP(Y17,$A$4:$A$19,_xlfn.XLOOKUP($Z$1,$B$3:$G$3,$B$4:$G$19)))</f>
        <v/>
      </c>
      <c r="AG17" s="216" t="str" cm="1">
        <f t="array" ref="AG17">IF(Y17="","",AF17+AD17+_xlfn.XLOOKUP(Y17,$A$25:$A$40,_xlfn.XLOOKUP($Z$1,$B$24:$G$24,$B$25:$G$40)))</f>
        <v/>
      </c>
    </row>
    <row r="18" spans="1:33" x14ac:dyDescent="0.3">
      <c r="A18" s="207"/>
      <c r="B18" s="238"/>
      <c r="C18" s="238"/>
      <c r="D18" s="238"/>
      <c r="E18" s="238"/>
      <c r="F18" s="238"/>
      <c r="G18" s="238"/>
      <c r="H18" s="214" t="str">
        <f t="shared" si="1"/>
        <v/>
      </c>
      <c r="I18" s="34"/>
      <c r="J18" s="207"/>
      <c r="Q18" s="217"/>
      <c r="T18" s="207"/>
      <c r="U18" s="215" t="str" cm="1">
        <f t="array" ref="U18">IFERROR(_xlfn.XLOOKUP($U$1,$K$3:$Q$3,_xlfn.XLOOKUP(T18,_xlfn.ANCHORARRAY($J$4),$K$4:$Q$9,""),""),"")</f>
        <v/>
      </c>
      <c r="W18" s="216" t="str">
        <f t="shared" si="2"/>
        <v/>
      </c>
      <c r="Y18" s="207"/>
      <c r="Z18" s="241" t="str">
        <f>IF(Y18="","",IF($Z$1="totale",SUMIF(tbl_entrate_compilazione[Pagamento],Y18,tbl_entrate_compilazione[Euro]),SUMIFS(tbl_entrate_compilazione[Euro],tbl_entrate_compilazione[Intestatario],$Z$1,tbl_entrate_compilazione[Pagamento],Y18)))</f>
        <v/>
      </c>
      <c r="AA18" s="241" t="str">
        <f>IF(Y18="","",SUMIFS(tbl_trasferimenti[importo],tbl_trasferimenti[intestatario],$Z$1,tbl_trasferimenti[conto],Y18)+SUMIFS(tbl_trasferimenti[importo2],tbl_trasferimenti[destinatario],$Z$1,tbl_trasferimenti[conto2],Y18))</f>
        <v/>
      </c>
      <c r="AB18" s="241" t="str">
        <f>IF(Y18="","",IF($Z$1="totale",SUMIF(tbl_spese_compilazione[Pagamento],Y18,tbl_spese_compilazione[Euro Lordo]),SUMIFS(tbl_spese_compilazione[Euro Lordo],tbl_spese_compilazione[Intestatario],$Z$1,tbl_spese_compilazione[Pagamento],Y18)))</f>
        <v/>
      </c>
      <c r="AC18" s="241" t="str">
        <f>IF(Y18="","",IF($Z$1="totale",SUMIF(tbl_rimborsi_compilazione[Pagamento],Y18,tbl_rimborsi_compilazione[Euro]),SUMIFS(tbl_rimborsi_compilazione[Euro],tbl_rimborsi_compilazione[Pagamento],Y18,tbl_rimborsi_compilazione[Intestatario],$Z$1)))</f>
        <v/>
      </c>
      <c r="AD18" s="241" t="str">
        <f>IF(Y18="","",IF($Z$1="totale",SUMIF(tbl_risparmi_compilazione[Pagamento],Y18,tbl_risparmi_compilazione[Euro]),SUMIFS(tbl_risparmi_compilazione[Euro],tbl_risparmi_compilazione[Intestatario],$Z$1,tbl_risparmi_compilazione[Pagamento],Y18)))</f>
        <v/>
      </c>
      <c r="AE18" s="241" t="str">
        <f>IF(Y18="","",IF($Z$1="totale",SUMIF(tbl_investimenti_compilazione[Pagamento],Y18,tbl_investimenti_compilazione[Euro]),SUMIFS(tbl_investimenti_compilazione[Euro],tbl_investimenti_compilazione[Intestatario],$Z$1,tbl_investimenti_compilazione[Pagamento],Y18)))</f>
        <v/>
      </c>
      <c r="AF18" s="241" t="str" cm="1">
        <f t="array" ref="AF18">IF(Y18="","",(B39+Z18+AA18-AB18+AC18-AD18-AE18)+_xlfn.XLOOKUP(Y18,$A$4:$A$19,_xlfn.XLOOKUP($Z$1,$B$3:$G$3,$B$4:$G$19)))</f>
        <v/>
      </c>
      <c r="AG18" s="216" t="str" cm="1">
        <f t="array" ref="AG18">IF(Y18="","",AF18+AD18+_xlfn.XLOOKUP(Y18,$A$25:$A$40,_xlfn.XLOOKUP($Z$1,$B$24:$G$24,$B$25:$G$40)))</f>
        <v/>
      </c>
    </row>
    <row r="19" spans="1:33" ht="15" thickBot="1" x14ac:dyDescent="0.35">
      <c r="A19" s="218"/>
      <c r="B19" s="219"/>
      <c r="C19" s="219"/>
      <c r="D19" s="219"/>
      <c r="E19" s="219"/>
      <c r="F19" s="219"/>
      <c r="G19" s="219"/>
      <c r="H19" s="239" t="str">
        <f t="shared" si="1"/>
        <v/>
      </c>
      <c r="I19" s="34"/>
      <c r="J19" s="218"/>
      <c r="K19" s="219"/>
      <c r="L19" s="219"/>
      <c r="M19" s="219"/>
      <c r="N19" s="219"/>
      <c r="O19" s="219"/>
      <c r="P19" s="219"/>
      <c r="Q19" s="220"/>
      <c r="T19" s="218"/>
      <c r="U19" s="221" t="str" cm="1">
        <f t="array" ref="U19">IFERROR(_xlfn.XLOOKUP($U$1,$K$3:$Q$3,_xlfn.XLOOKUP(T19,_xlfn.ANCHORARRAY($J$4),$K$4:$Q$9,""),""),"")</f>
        <v/>
      </c>
      <c r="V19" s="219"/>
      <c r="W19" s="222" t="str">
        <f t="shared" si="2"/>
        <v/>
      </c>
      <c r="Y19" s="218"/>
      <c r="Z19" s="221" t="str">
        <f>IF(Y19="","",IF($Z$1="totale",SUMIF(tbl_entrate_compilazione[Pagamento],Y19,tbl_entrate_compilazione[Euro]),SUMIFS(tbl_entrate_compilazione[Euro],tbl_entrate_compilazione[Intestatario],$Z$1,tbl_entrate_compilazione[Pagamento],Y19)))</f>
        <v/>
      </c>
      <c r="AA19" s="221" t="str">
        <f>IF(Y19="","",SUMIFS(tbl_trasferimenti[importo],tbl_trasferimenti[intestatario],$Z$1,tbl_trasferimenti[conto],Y19)+SUMIFS(tbl_trasferimenti[importo2],tbl_trasferimenti[destinatario],$Z$1,tbl_trasferimenti[conto2],Y19))</f>
        <v/>
      </c>
      <c r="AB19" s="221" t="str">
        <f>IF(Y19="","",IF($Z$1="totale",SUMIF(tbl_spese_compilazione[Pagamento],Y19,tbl_spese_compilazione[Euro Lordo]),SUMIFS(tbl_spese_compilazione[Euro Lordo],tbl_spese_compilazione[Intestatario],$Z$1,tbl_spese_compilazione[Pagamento],Y19)))</f>
        <v/>
      </c>
      <c r="AC19" s="221" t="str">
        <f>IF(Y19="","",IF($Z$1="totale",SUMIF(tbl_rimborsi_compilazione[Pagamento],Y19,tbl_rimborsi_compilazione[Euro]),SUMIFS(tbl_rimborsi_compilazione[Euro],tbl_rimborsi_compilazione[Pagamento],Y19,tbl_rimborsi_compilazione[Intestatario],$Z$1)))</f>
        <v/>
      </c>
      <c r="AD19" s="221" t="str">
        <f>IF(Y19="","",IF($Z$1="totale",SUMIF(tbl_risparmi_compilazione[Pagamento],Y19,tbl_risparmi_compilazione[Euro]),SUMIFS(tbl_risparmi_compilazione[Euro],tbl_risparmi_compilazione[Intestatario],$Z$1,tbl_risparmi_compilazione[Pagamento],Y19)))</f>
        <v/>
      </c>
      <c r="AE19" s="221" t="str">
        <f>IF(Y19="","",IF($Z$1="totale",SUMIF(tbl_investimenti_compilazione[Pagamento],Y19,tbl_investimenti_compilazione[Euro]),SUMIFS(tbl_investimenti_compilazione[Euro],tbl_investimenti_compilazione[Intestatario],$Z$1,tbl_investimenti_compilazione[Pagamento],Y19)))</f>
        <v/>
      </c>
      <c r="AF19" s="221" t="str" cm="1">
        <f t="array" ref="AF19">IF(Y19="","",(B40+Z19+AA19-AB19+AC19-AD19-AE19)+_xlfn.XLOOKUP(Y19,$A$4:$A$19,_xlfn.XLOOKUP($Z$1,$B$3:$G$3,$B$4:$G$19)))</f>
        <v/>
      </c>
      <c r="AG19" s="222" t="str" cm="1">
        <f t="array" ref="AG19">IF(Y19="","",AF19+AD19+_xlfn.XLOOKUP(Y19,$A$25:$A$40,_xlfn.XLOOKUP($Z$1,$B$24:$G$24,$B$25:$G$40)))</f>
        <v/>
      </c>
    </row>
    <row r="20" spans="1:33" ht="15" thickBot="1" x14ac:dyDescent="0.35">
      <c r="G20" s="34" t="s">
        <v>186</v>
      </c>
      <c r="H20" s="57">
        <f>SUM(H4:H19)</f>
        <v>1269.8399999999999</v>
      </c>
      <c r="P20" s="34" t="s">
        <v>186</v>
      </c>
      <c r="Q20" s="57">
        <f>SUM(Q4:Q19)</f>
        <v>2326.9499999999998</v>
      </c>
      <c r="U20" s="34" t="s">
        <v>186</v>
      </c>
      <c r="V20" s="57">
        <f>SUM(V4:V19)</f>
        <v>1494.19</v>
      </c>
      <c r="W20" s="215"/>
      <c r="AE20" s="204" t="s">
        <v>186</v>
      </c>
      <c r="AF20" s="57">
        <f>SUM(AF4:AF19)</f>
        <v>1494.1900000000007</v>
      </c>
      <c r="AG20" s="57">
        <f>SUM(AG4:AG19)</f>
        <v>1594.1900000000007</v>
      </c>
    </row>
    <row r="21" spans="1:33" ht="15" thickBot="1" x14ac:dyDescent="0.35">
      <c r="U21" s="34" t="s">
        <v>302</v>
      </c>
      <c r="V21" s="215">
        <f>CALCOLI!N49</f>
        <v>1494.1899999999998</v>
      </c>
      <c r="Z21" s="223" t="s">
        <v>221</v>
      </c>
      <c r="AA21" s="224"/>
      <c r="AC21" s="215"/>
      <c r="AD21" s="215"/>
      <c r="AE21" s="34" t="s">
        <v>302</v>
      </c>
      <c r="AF21" s="215">
        <f>CALCOLI!N49</f>
        <v>1494.1899999999998</v>
      </c>
      <c r="AG21" s="215">
        <f>CALCOLI!N51</f>
        <v>1594.1899999999998</v>
      </c>
    </row>
    <row r="22" spans="1:33" x14ac:dyDescent="0.3">
      <c r="A22" s="89" t="s">
        <v>17</v>
      </c>
      <c r="B22" s="205" t="s">
        <v>189</v>
      </c>
      <c r="C22" s="240">
        <v>45905</v>
      </c>
      <c r="D22" s="206"/>
      <c r="E22" s="206"/>
      <c r="F22" s="206"/>
      <c r="G22" s="206"/>
      <c r="H22" s="203"/>
      <c r="J22" s="215"/>
      <c r="N22" s="215"/>
      <c r="U22" s="34" t="s">
        <v>303</v>
      </c>
      <c r="V22" s="215">
        <f>V20-V21</f>
        <v>0</v>
      </c>
      <c r="Z22" s="225" t="s">
        <v>17</v>
      </c>
      <c r="AA22" s="226">
        <v>45941</v>
      </c>
      <c r="AD22" s="215"/>
      <c r="AE22" s="34" t="s">
        <v>305</v>
      </c>
      <c r="AF22" s="215">
        <f>AF20-AF21</f>
        <v>0</v>
      </c>
      <c r="AG22" s="215">
        <f>AG20-AG21</f>
        <v>0</v>
      </c>
    </row>
    <row r="23" spans="1:33" x14ac:dyDescent="0.3">
      <c r="A23" s="87" t="s">
        <v>30</v>
      </c>
      <c r="B23" s="234" t="s">
        <v>180</v>
      </c>
      <c r="C23" s="234" t="s">
        <v>181</v>
      </c>
      <c r="D23" s="234" t="s">
        <v>182</v>
      </c>
      <c r="E23" s="234" t="s">
        <v>183</v>
      </c>
      <c r="F23" s="234" t="s">
        <v>184</v>
      </c>
      <c r="G23" s="234" t="s">
        <v>185</v>
      </c>
      <c r="H23" s="211"/>
      <c r="V23" s="204" t="str">
        <f>" +/- rispetto a quello che si ha realmente"</f>
        <v xml:space="preserve"> +/- rispetto a quello che si ha realmente</v>
      </c>
      <c r="Z23" s="227" t="s">
        <v>18</v>
      </c>
      <c r="AA23" s="228" t="str">
        <f>_xlfn.XLOOKUP(MONTH(AA22),tbl_mesi[n],tbl_mesi[mese])</f>
        <v>ottobre</v>
      </c>
      <c r="AB23" s="215"/>
      <c r="AC23" s="215"/>
      <c r="AD23" s="215"/>
    </row>
    <row r="24" spans="1:33" x14ac:dyDescent="0.3">
      <c r="A24" s="87" t="s">
        <v>179</v>
      </c>
      <c r="B24" s="238" t="str" cm="1">
        <f t="array" ref="B24:C24">TRANSPOSE(tbl_persone[persone])</f>
        <v>felice</v>
      </c>
      <c r="C24" s="241" t="str">
        <v>elena</v>
      </c>
      <c r="D24" s="238"/>
      <c r="E24" s="238"/>
      <c r="F24" s="238"/>
      <c r="G24" s="238"/>
      <c r="H24" s="211" t="s">
        <v>111</v>
      </c>
      <c r="U24" s="215"/>
      <c r="Z24" s="227" t="s">
        <v>175</v>
      </c>
      <c r="AA24" s="228" t="s">
        <v>178</v>
      </c>
      <c r="AB24" s="215"/>
      <c r="AD24" s="215"/>
    </row>
    <row r="25" spans="1:33" x14ac:dyDescent="0.3">
      <c r="A25" s="207" t="str" cm="1">
        <f t="array" ref="A25:A30">tbl_carte[nome]</f>
        <v>contanti</v>
      </c>
      <c r="B25" s="237">
        <v>0</v>
      </c>
      <c r="C25" s="237">
        <v>0</v>
      </c>
      <c r="D25" s="237">
        <v>0</v>
      </c>
      <c r="E25" s="237">
        <v>0</v>
      </c>
      <c r="F25" s="237">
        <v>0</v>
      </c>
      <c r="G25" s="237">
        <v>0</v>
      </c>
      <c r="H25" s="216">
        <f>IF(A25="","",SUM(B25:G25))</f>
        <v>0</v>
      </c>
      <c r="T25" s="215"/>
      <c r="U25" s="215"/>
      <c r="Z25" s="227" t="s">
        <v>222</v>
      </c>
      <c r="AA25" s="228" t="s">
        <v>168</v>
      </c>
      <c r="AD25" s="215"/>
    </row>
    <row r="26" spans="1:33" x14ac:dyDescent="0.3">
      <c r="A26" s="207" t="str">
        <v>bnl</v>
      </c>
      <c r="B26" s="237">
        <v>0</v>
      </c>
      <c r="C26" s="237">
        <v>0</v>
      </c>
      <c r="D26" s="237">
        <v>0</v>
      </c>
      <c r="E26" s="237">
        <v>0</v>
      </c>
      <c r="F26" s="237">
        <v>0</v>
      </c>
      <c r="G26" s="237">
        <v>0</v>
      </c>
      <c r="H26" s="216">
        <f t="shared" ref="H26:H40" si="3">IF(A26="","",SUM(B26:G26))</f>
        <v>0</v>
      </c>
      <c r="U26" s="215"/>
      <c r="Z26" s="227" t="s">
        <v>223</v>
      </c>
      <c r="AA26" s="228"/>
      <c r="AB26" s="204">
        <f>AA26*(-1)</f>
        <v>0</v>
      </c>
      <c r="AD26" s="215"/>
      <c r="AE26" s="215"/>
      <c r="AF26" s="215"/>
    </row>
    <row r="27" spans="1:33" x14ac:dyDescent="0.3">
      <c r="A27" s="207" t="str">
        <v>postepay</v>
      </c>
      <c r="B27" s="237">
        <v>0</v>
      </c>
      <c r="C27" s="237">
        <v>0</v>
      </c>
      <c r="D27" s="237">
        <v>0</v>
      </c>
      <c r="E27" s="237">
        <v>0</v>
      </c>
      <c r="F27" s="237">
        <v>0</v>
      </c>
      <c r="G27" s="237">
        <v>0</v>
      </c>
      <c r="H27" s="216">
        <f t="shared" si="3"/>
        <v>0</v>
      </c>
      <c r="U27" s="215"/>
      <c r="Z27" s="227" t="s">
        <v>224</v>
      </c>
      <c r="AA27" s="228" t="s">
        <v>178</v>
      </c>
      <c r="AD27" s="215"/>
    </row>
    <row r="28" spans="1:33" x14ac:dyDescent="0.3">
      <c r="A28" s="207" t="str">
        <v>revolut</v>
      </c>
      <c r="B28" s="237">
        <v>0</v>
      </c>
      <c r="C28" s="237">
        <v>0</v>
      </c>
      <c r="D28" s="237">
        <v>0</v>
      </c>
      <c r="E28" s="237">
        <v>0</v>
      </c>
      <c r="F28" s="237">
        <v>0</v>
      </c>
      <c r="G28" s="237">
        <v>0</v>
      </c>
      <c r="H28" s="216">
        <f t="shared" si="3"/>
        <v>0</v>
      </c>
      <c r="U28" s="215"/>
      <c r="W28" s="215"/>
      <c r="Z28" s="227" t="s">
        <v>222</v>
      </c>
      <c r="AA28" s="228" t="s">
        <v>169</v>
      </c>
      <c r="AB28" s="215"/>
      <c r="AC28" s="215"/>
    </row>
    <row r="29" spans="1:33" x14ac:dyDescent="0.3">
      <c r="A29" s="207" t="str">
        <v>n26</v>
      </c>
      <c r="B29" s="237">
        <v>0</v>
      </c>
      <c r="C29" s="237">
        <v>0</v>
      </c>
      <c r="D29" s="237">
        <v>0</v>
      </c>
      <c r="E29" s="237">
        <v>0</v>
      </c>
      <c r="F29" s="237">
        <v>0</v>
      </c>
      <c r="G29" s="237">
        <v>0</v>
      </c>
      <c r="H29" s="216">
        <f t="shared" si="3"/>
        <v>0</v>
      </c>
      <c r="U29" s="215"/>
      <c r="V29" s="215"/>
      <c r="Z29" s="227" t="s">
        <v>223</v>
      </c>
      <c r="AA29" s="228">
        <f>AA26</f>
        <v>0</v>
      </c>
    </row>
    <row r="30" spans="1:33" ht="15" thickBot="1" x14ac:dyDescent="0.35">
      <c r="A30" s="207" t="str">
        <v>altro</v>
      </c>
      <c r="B30" s="237">
        <v>0</v>
      </c>
      <c r="C30" s="237">
        <v>0</v>
      </c>
      <c r="D30" s="237">
        <v>0</v>
      </c>
      <c r="E30" s="237">
        <v>0</v>
      </c>
      <c r="F30" s="237">
        <v>0</v>
      </c>
      <c r="G30" s="237">
        <v>0</v>
      </c>
      <c r="H30" s="216">
        <f t="shared" si="3"/>
        <v>0</v>
      </c>
      <c r="V30" s="215"/>
      <c r="Z30" s="229" t="s">
        <v>22</v>
      </c>
      <c r="AA30" s="230"/>
    </row>
    <row r="31" spans="1:33" x14ac:dyDescent="0.3">
      <c r="A31" s="207"/>
      <c r="B31" s="238"/>
      <c r="C31" s="238"/>
      <c r="D31" s="238"/>
      <c r="E31" s="238"/>
      <c r="F31" s="238"/>
      <c r="G31" s="238"/>
      <c r="H31" s="216" t="str">
        <f t="shared" si="3"/>
        <v/>
      </c>
    </row>
    <row r="32" spans="1:33" x14ac:dyDescent="0.3">
      <c r="A32" s="207"/>
      <c r="B32" s="238"/>
      <c r="C32" s="238"/>
      <c r="D32" s="238"/>
      <c r="E32" s="238"/>
      <c r="F32" s="238"/>
      <c r="G32" s="238"/>
      <c r="H32" s="216" t="str">
        <f t="shared" si="3"/>
        <v/>
      </c>
    </row>
    <row r="33" spans="1:34" x14ac:dyDescent="0.3">
      <c r="A33" s="207"/>
      <c r="B33" s="238"/>
      <c r="C33" s="238"/>
      <c r="D33" s="238"/>
      <c r="E33" s="238"/>
      <c r="F33" s="238"/>
      <c r="G33" s="238"/>
      <c r="H33" s="216" t="str">
        <f t="shared" si="3"/>
        <v/>
      </c>
    </row>
    <row r="34" spans="1:34" x14ac:dyDescent="0.3">
      <c r="A34" s="207"/>
      <c r="B34" s="238"/>
      <c r="C34" s="238"/>
      <c r="D34" s="238"/>
      <c r="E34" s="238"/>
      <c r="F34" s="238"/>
      <c r="G34" s="238"/>
      <c r="H34" s="216" t="str">
        <f t="shared" si="3"/>
        <v/>
      </c>
      <c r="Z34" s="204" t="s">
        <v>204</v>
      </c>
      <c r="AA34" s="204" t="s">
        <v>37</v>
      </c>
      <c r="AB34" s="204" t="s">
        <v>216</v>
      </c>
      <c r="AC34" s="204" t="s">
        <v>219</v>
      </c>
      <c r="AD34" s="204" t="s">
        <v>197</v>
      </c>
      <c r="AE34" s="204" t="s">
        <v>218</v>
      </c>
      <c r="AF34" s="204" t="s">
        <v>220</v>
      </c>
      <c r="AG34" s="204" t="s">
        <v>217</v>
      </c>
      <c r="AH34" s="204" t="s">
        <v>4</v>
      </c>
    </row>
    <row r="35" spans="1:34" x14ac:dyDescent="0.3">
      <c r="A35" s="207"/>
      <c r="B35" s="238"/>
      <c r="C35" s="238"/>
      <c r="D35" s="238"/>
      <c r="E35" s="238"/>
      <c r="F35" s="238"/>
      <c r="G35" s="238"/>
      <c r="H35" s="216" t="str">
        <f t="shared" si="3"/>
        <v/>
      </c>
      <c r="Z35" s="231">
        <v>45941</v>
      </c>
      <c r="AA35" s="232" t="s">
        <v>15</v>
      </c>
      <c r="AB35" s="232" t="s">
        <v>178</v>
      </c>
      <c r="AC35" s="232" t="s">
        <v>168</v>
      </c>
      <c r="AD35" s="233">
        <v>-200</v>
      </c>
      <c r="AE35" s="233" t="s">
        <v>178</v>
      </c>
      <c r="AF35" s="232" t="s">
        <v>169</v>
      </c>
      <c r="AG35" s="233">
        <v>200</v>
      </c>
      <c r="AH35" s="233"/>
    </row>
    <row r="36" spans="1:34" x14ac:dyDescent="0.3">
      <c r="A36" s="207"/>
      <c r="B36" s="238"/>
      <c r="C36" s="238"/>
      <c r="D36" s="238"/>
      <c r="E36" s="238"/>
      <c r="F36" s="238"/>
      <c r="G36" s="238"/>
      <c r="H36" s="216" t="str">
        <f t="shared" si="3"/>
        <v/>
      </c>
      <c r="Z36" s="231">
        <v>45937</v>
      </c>
      <c r="AA36" s="232" t="s">
        <v>15</v>
      </c>
      <c r="AB36" s="232" t="s">
        <v>178</v>
      </c>
      <c r="AC36" s="232" t="s">
        <v>168</v>
      </c>
      <c r="AD36" s="233">
        <v>-200</v>
      </c>
      <c r="AE36" s="233" t="s">
        <v>178</v>
      </c>
      <c r="AF36" s="232" t="s">
        <v>167</v>
      </c>
      <c r="AG36" s="233">
        <v>200</v>
      </c>
      <c r="AH36" s="233" t="s">
        <v>177</v>
      </c>
    </row>
    <row r="37" spans="1:34" x14ac:dyDescent="0.3">
      <c r="A37" s="207"/>
      <c r="B37" s="238"/>
      <c r="C37" s="238"/>
      <c r="D37" s="238"/>
      <c r="E37" s="238"/>
      <c r="F37" s="238"/>
      <c r="G37" s="238"/>
      <c r="H37" s="216" t="str">
        <f t="shared" si="3"/>
        <v/>
      </c>
      <c r="Z37" s="231">
        <v>45933</v>
      </c>
      <c r="AA37" s="232" t="s">
        <v>15</v>
      </c>
      <c r="AB37" s="232" t="s">
        <v>178</v>
      </c>
      <c r="AC37" s="232" t="s">
        <v>169</v>
      </c>
      <c r="AD37" s="233">
        <v>-10</v>
      </c>
      <c r="AE37" s="233" t="s">
        <v>178</v>
      </c>
      <c r="AF37" s="232" t="s">
        <v>167</v>
      </c>
      <c r="AG37" s="233">
        <v>10</v>
      </c>
      <c r="AH37" s="233" t="s">
        <v>278</v>
      </c>
    </row>
    <row r="38" spans="1:34" x14ac:dyDescent="0.3">
      <c r="A38" s="207"/>
      <c r="B38" s="238"/>
      <c r="C38" s="238"/>
      <c r="D38" s="238"/>
      <c r="E38" s="238"/>
      <c r="F38" s="238"/>
      <c r="G38" s="238"/>
      <c r="H38" s="216" t="str">
        <f t="shared" si="3"/>
        <v/>
      </c>
      <c r="Z38" s="231">
        <v>45930</v>
      </c>
      <c r="AA38" s="232" t="s">
        <v>14</v>
      </c>
      <c r="AB38" s="232" t="s">
        <v>178</v>
      </c>
      <c r="AC38" s="232" t="s">
        <v>168</v>
      </c>
      <c r="AD38" s="233">
        <v>-400</v>
      </c>
      <c r="AE38" s="233" t="s">
        <v>178</v>
      </c>
      <c r="AF38" s="232" t="s">
        <v>169</v>
      </c>
      <c r="AG38" s="233">
        <v>400</v>
      </c>
      <c r="AH38" s="233"/>
    </row>
    <row r="39" spans="1:34" x14ac:dyDescent="0.3">
      <c r="A39" s="207"/>
      <c r="B39" s="238"/>
      <c r="C39" s="238"/>
      <c r="D39" s="238"/>
      <c r="E39" s="238"/>
      <c r="F39" s="238"/>
      <c r="G39" s="238"/>
      <c r="H39" s="216" t="str">
        <f t="shared" si="3"/>
        <v/>
      </c>
      <c r="Z39" s="231">
        <v>45928</v>
      </c>
      <c r="AA39" s="232" t="s">
        <v>14</v>
      </c>
      <c r="AB39" s="232" t="s">
        <v>178</v>
      </c>
      <c r="AC39" s="232" t="s">
        <v>168</v>
      </c>
      <c r="AD39" s="233">
        <v>-30</v>
      </c>
      <c r="AE39" s="233" t="s">
        <v>178</v>
      </c>
      <c r="AF39" s="232" t="s">
        <v>251</v>
      </c>
      <c r="AG39" s="233">
        <v>30</v>
      </c>
      <c r="AH39" s="233"/>
    </row>
    <row r="40" spans="1:34" ht="15" thickBot="1" x14ac:dyDescent="0.35">
      <c r="A40" s="218"/>
      <c r="B40" s="219"/>
      <c r="C40" s="219"/>
      <c r="D40" s="219"/>
      <c r="E40" s="219"/>
      <c r="F40" s="219"/>
      <c r="G40" s="219"/>
      <c r="H40" s="222" t="str">
        <f t="shared" si="3"/>
        <v/>
      </c>
      <c r="Z40" s="231">
        <v>45925</v>
      </c>
      <c r="AA40" s="232" t="s">
        <v>14</v>
      </c>
      <c r="AB40" s="232" t="s">
        <v>178</v>
      </c>
      <c r="AC40" s="232" t="s">
        <v>168</v>
      </c>
      <c r="AD40" s="233">
        <v>-150</v>
      </c>
      <c r="AE40" s="233" t="s">
        <v>178</v>
      </c>
      <c r="AF40" s="232" t="s">
        <v>169</v>
      </c>
      <c r="AG40" s="233">
        <v>150</v>
      </c>
      <c r="AH40" s="233"/>
    </row>
    <row r="41" spans="1:34" x14ac:dyDescent="0.3">
      <c r="G41" s="34" t="s">
        <v>186</v>
      </c>
      <c r="H41" s="57">
        <f>SUM(H25:H40)</f>
        <v>0</v>
      </c>
      <c r="Z41" s="231">
        <v>45922</v>
      </c>
      <c r="AA41" s="232" t="s">
        <v>14</v>
      </c>
      <c r="AB41" s="232" t="s">
        <v>178</v>
      </c>
      <c r="AC41" s="232" t="s">
        <v>168</v>
      </c>
      <c r="AD41" s="233">
        <v>-300</v>
      </c>
      <c r="AE41" s="233" t="s">
        <v>178</v>
      </c>
      <c r="AF41" s="232" t="s">
        <v>169</v>
      </c>
      <c r="AG41" s="233">
        <v>300</v>
      </c>
      <c r="AH41" s="233"/>
    </row>
    <row r="42" spans="1:34" x14ac:dyDescent="0.3">
      <c r="Z42" s="231">
        <v>45916</v>
      </c>
      <c r="AA42" s="232" t="s">
        <v>14</v>
      </c>
      <c r="AB42" s="232" t="s">
        <v>178</v>
      </c>
      <c r="AC42" s="232" t="s">
        <v>168</v>
      </c>
      <c r="AD42" s="233">
        <v>-300</v>
      </c>
      <c r="AE42" s="233" t="s">
        <v>178</v>
      </c>
      <c r="AF42" s="232" t="s">
        <v>169</v>
      </c>
      <c r="AG42" s="233">
        <v>300</v>
      </c>
      <c r="AH42" s="233"/>
    </row>
    <row r="43" spans="1:34" x14ac:dyDescent="0.3">
      <c r="Z43" s="231">
        <v>45909</v>
      </c>
      <c r="AA43" s="232" t="s">
        <v>14</v>
      </c>
      <c r="AB43" s="232" t="s">
        <v>178</v>
      </c>
      <c r="AC43" s="232" t="s">
        <v>168</v>
      </c>
      <c r="AD43" s="233">
        <v>-250</v>
      </c>
      <c r="AE43" s="233" t="s">
        <v>178</v>
      </c>
      <c r="AF43" s="232" t="s">
        <v>169</v>
      </c>
      <c r="AG43" s="233">
        <v>250</v>
      </c>
      <c r="AH43" s="233"/>
    </row>
  </sheetData>
  <mergeCells count="1">
    <mergeCell ref="Z21:AA21"/>
  </mergeCells>
  <phoneticPr fontId="16" type="noConversion"/>
  <dataValidations disablePrompts="1" count="3">
    <dataValidation type="list" allowBlank="1" showInputMessage="1" showErrorMessage="1" sqref="U1 Z1:AA1" xr:uid="{26965E46-B4AD-468A-82DE-FDBC44290905}">
      <formula1>OFFSET(persone_lista,0,0,ROWS(persone_lista)+1)</formula1>
    </dataValidation>
    <dataValidation type="list" allowBlank="1" showInputMessage="1" showErrorMessage="1" sqref="AA24 AA27" xr:uid="{7A7B0DB8-861E-4158-B415-C7B3033309AE}">
      <formula1>persone_lista</formula1>
    </dataValidation>
    <dataValidation type="list" allowBlank="1" showInputMessage="1" showErrorMessage="1" sqref="AA25 AA28" xr:uid="{374B00AE-61D9-4E45-BCD3-16A281958A49}">
      <formula1>carte_lista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InserimentoTrasferimento">
                <anchor moveWithCells="1" sizeWithCells="1">
                  <from>
                    <xdr:col>25</xdr:col>
                    <xdr:colOff>22860</xdr:colOff>
                    <xdr:row>30</xdr:row>
                    <xdr:rowOff>53340</xdr:rowOff>
                  </from>
                  <to>
                    <xdr:col>26</xdr:col>
                    <xdr:colOff>982980</xdr:colOff>
                    <xdr:row>32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97E7-81D4-4A23-AB00-3DE1B9CD969D}">
  <sheetPr codeName="Foglio2">
    <tabColor theme="9" tint="-0.499984740745262"/>
  </sheetPr>
  <dimension ref="B1:K26"/>
  <sheetViews>
    <sheetView zoomScale="85" zoomScaleNormal="85" workbookViewId="0">
      <selection activeCell="H24" sqref="H24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14.77734375" style="1" customWidth="1"/>
    <col min="6" max="6" width="32.44140625" style="1" customWidth="1"/>
    <col min="7" max="7" width="13.21875" style="1" bestFit="1" customWidth="1"/>
    <col min="8" max="8" width="13.109375" style="93" customWidth="1"/>
    <col min="9" max="9" width="7.21875" style="1" customWidth="1"/>
    <col min="10" max="10" width="23.44140625" style="1" customWidth="1"/>
    <col min="11" max="11" width="19" style="1" customWidth="1"/>
    <col min="12" max="12" width="15.5546875" style="1" customWidth="1"/>
    <col min="13" max="13" width="9.109375" style="1" customWidth="1"/>
    <col min="14" max="14" width="9.6640625" style="1" customWidth="1"/>
    <col min="15" max="17" width="8.88671875" style="1"/>
    <col min="18" max="18" width="8.88671875" style="1" customWidth="1"/>
    <col min="19" max="16384" width="8.88671875" style="1"/>
  </cols>
  <sheetData>
    <row r="1" spans="2:11" ht="15" thickBot="1" x14ac:dyDescent="0.35"/>
    <row r="2" spans="2:11" ht="15" thickBot="1" x14ac:dyDescent="0.35">
      <c r="J2" s="187" t="s">
        <v>23</v>
      </c>
      <c r="K2" s="188"/>
    </row>
    <row r="3" spans="2:11" x14ac:dyDescent="0.3">
      <c r="J3" s="76" t="s">
        <v>17</v>
      </c>
      <c r="K3" s="69">
        <v>45940</v>
      </c>
    </row>
    <row r="4" spans="2:11" x14ac:dyDescent="0.3">
      <c r="J4" s="77" t="s">
        <v>18</v>
      </c>
      <c r="K4" s="70" t="str">
        <f>_xlfn.XLOOKUP(MONTH(K3),tbl_mesi[n],tbl_mesi[mese])</f>
        <v>ottobre</v>
      </c>
    </row>
    <row r="5" spans="2:11" x14ac:dyDescent="0.3">
      <c r="J5" s="77" t="s">
        <v>19</v>
      </c>
      <c r="K5" s="70"/>
    </row>
    <row r="6" spans="2:11" x14ac:dyDescent="0.3">
      <c r="J6" s="77" t="s">
        <v>21</v>
      </c>
      <c r="K6" s="75"/>
    </row>
    <row r="7" spans="2:11" x14ac:dyDescent="0.3">
      <c r="J7" s="77" t="s">
        <v>22</v>
      </c>
      <c r="K7" s="174"/>
    </row>
    <row r="8" spans="2:11" x14ac:dyDescent="0.3">
      <c r="J8" s="78" t="s">
        <v>215</v>
      </c>
      <c r="K8" s="27" t="s">
        <v>168</v>
      </c>
    </row>
    <row r="9" spans="2:11" ht="15" thickBot="1" x14ac:dyDescent="0.35">
      <c r="J9" s="79" t="s">
        <v>175</v>
      </c>
      <c r="K9" s="72" t="s">
        <v>157</v>
      </c>
    </row>
    <row r="11" spans="2:11" x14ac:dyDescent="0.3"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3" t="s">
        <v>174</v>
      </c>
      <c r="H11" s="3" t="s">
        <v>176</v>
      </c>
    </row>
    <row r="12" spans="2:11" x14ac:dyDescent="0.3">
      <c r="B12" s="175">
        <v>45940</v>
      </c>
      <c r="C12" s="172" t="s">
        <v>15</v>
      </c>
      <c r="D12" s="171" t="s">
        <v>39</v>
      </c>
      <c r="E12" s="177">
        <v>1664.3</v>
      </c>
      <c r="F12" s="171" t="s">
        <v>198</v>
      </c>
      <c r="G12" s="171" t="s">
        <v>168</v>
      </c>
      <c r="H12" s="171" t="s">
        <v>157</v>
      </c>
    </row>
    <row r="13" spans="2:11" x14ac:dyDescent="0.3">
      <c r="B13" s="15">
        <v>45908</v>
      </c>
      <c r="C13" s="3" t="s">
        <v>14</v>
      </c>
      <c r="D13" s="16" t="s">
        <v>39</v>
      </c>
      <c r="E13" s="36">
        <v>431</v>
      </c>
      <c r="F13" s="16" t="s">
        <v>198</v>
      </c>
      <c r="G13" s="16" t="s">
        <v>168</v>
      </c>
      <c r="H13" s="16" t="s">
        <v>157</v>
      </c>
    </row>
    <row r="14" spans="2:11" x14ac:dyDescent="0.3">
      <c r="B14" s="15">
        <v>45908</v>
      </c>
      <c r="C14" s="3" t="s">
        <v>14</v>
      </c>
      <c r="D14" s="16" t="s">
        <v>39</v>
      </c>
      <c r="E14" s="36">
        <v>250</v>
      </c>
      <c r="F14" s="16" t="s">
        <v>194</v>
      </c>
      <c r="G14" s="16" t="s">
        <v>167</v>
      </c>
      <c r="H14" s="16" t="s">
        <v>157</v>
      </c>
    </row>
    <row r="15" spans="2:11" x14ac:dyDescent="0.3">
      <c r="B15" s="15">
        <v>45658</v>
      </c>
      <c r="C15" s="3" t="s">
        <v>5</v>
      </c>
      <c r="D15" s="124"/>
      <c r="E15" s="36"/>
      <c r="F15" s="16"/>
      <c r="G15" s="16"/>
      <c r="H15" s="16"/>
    </row>
    <row r="16" spans="2:11" x14ac:dyDescent="0.3">
      <c r="B16" s="15">
        <v>45689</v>
      </c>
      <c r="C16" s="3" t="s">
        <v>6</v>
      </c>
      <c r="D16" s="124"/>
      <c r="E16" s="36"/>
      <c r="F16" s="16"/>
      <c r="G16" s="16"/>
      <c r="H16" s="16"/>
    </row>
    <row r="17" spans="2:8" x14ac:dyDescent="0.3">
      <c r="B17" s="15">
        <v>45717</v>
      </c>
      <c r="C17" s="3" t="s">
        <v>8</v>
      </c>
      <c r="D17" s="124"/>
      <c r="E17" s="36"/>
      <c r="F17" s="16"/>
      <c r="G17" s="16"/>
      <c r="H17" s="16"/>
    </row>
    <row r="18" spans="2:8" x14ac:dyDescent="0.3">
      <c r="B18" s="15">
        <v>45748</v>
      </c>
      <c r="C18" s="3" t="s">
        <v>9</v>
      </c>
      <c r="D18" s="124"/>
      <c r="E18" s="36"/>
      <c r="F18" s="16"/>
      <c r="G18" s="16"/>
      <c r="H18" s="16"/>
    </row>
    <row r="19" spans="2:8" x14ac:dyDescent="0.3">
      <c r="B19" s="15">
        <v>45778</v>
      </c>
      <c r="C19" s="3" t="s">
        <v>10</v>
      </c>
      <c r="D19" s="124"/>
      <c r="E19" s="36"/>
      <c r="F19" s="16"/>
      <c r="G19" s="16"/>
      <c r="H19" s="16"/>
    </row>
    <row r="20" spans="2:8" x14ac:dyDescent="0.3">
      <c r="B20" s="15">
        <v>45809</v>
      </c>
      <c r="C20" s="3" t="s">
        <v>11</v>
      </c>
      <c r="D20" s="124"/>
      <c r="E20" s="36"/>
      <c r="F20" s="16"/>
      <c r="G20" s="16"/>
      <c r="H20" s="16"/>
    </row>
    <row r="21" spans="2:8" x14ac:dyDescent="0.3">
      <c r="B21" s="15">
        <v>45839</v>
      </c>
      <c r="C21" s="3" t="s">
        <v>12</v>
      </c>
      <c r="D21" s="124"/>
      <c r="E21" s="36"/>
      <c r="F21" s="16"/>
      <c r="G21" s="16"/>
      <c r="H21" s="16"/>
    </row>
    <row r="22" spans="2:8" x14ac:dyDescent="0.3">
      <c r="B22" s="15">
        <v>45870</v>
      </c>
      <c r="C22" s="3" t="s">
        <v>13</v>
      </c>
      <c r="D22" s="124"/>
      <c r="E22" s="36"/>
      <c r="F22" s="16"/>
      <c r="G22" s="16"/>
      <c r="H22" s="16"/>
    </row>
    <row r="23" spans="2:8" x14ac:dyDescent="0.3">
      <c r="B23" s="15">
        <v>45901</v>
      </c>
      <c r="C23" s="3" t="s">
        <v>14</v>
      </c>
      <c r="D23" s="124"/>
      <c r="E23" s="36"/>
      <c r="F23" s="16"/>
      <c r="G23" s="16"/>
      <c r="H23" s="16"/>
    </row>
    <row r="24" spans="2:8" x14ac:dyDescent="0.3">
      <c r="B24" s="15">
        <v>45931</v>
      </c>
      <c r="C24" s="3" t="s">
        <v>15</v>
      </c>
      <c r="D24" s="124"/>
      <c r="E24" s="36"/>
      <c r="F24" s="16"/>
      <c r="G24" s="16"/>
      <c r="H24" s="16"/>
    </row>
    <row r="25" spans="2:8" x14ac:dyDescent="0.3">
      <c r="B25" s="15">
        <v>45962</v>
      </c>
      <c r="C25" s="3" t="s">
        <v>16</v>
      </c>
      <c r="D25" s="124"/>
      <c r="E25" s="36"/>
      <c r="F25" s="16"/>
      <c r="G25" s="16"/>
      <c r="H25" s="16"/>
    </row>
    <row r="26" spans="2:8" x14ac:dyDescent="0.3">
      <c r="B26" s="15">
        <v>45992</v>
      </c>
      <c r="C26" s="3" t="s">
        <v>7</v>
      </c>
      <c r="D26" s="124"/>
      <c r="E26" s="36"/>
      <c r="F26" s="16"/>
      <c r="G26" s="16"/>
      <c r="H26" s="16"/>
    </row>
  </sheetData>
  <mergeCells count="1">
    <mergeCell ref="J2:K2"/>
  </mergeCells>
  <dataValidations count="3">
    <dataValidation type="list" allowBlank="1" showInputMessage="1" showErrorMessage="1" sqref="K5" xr:uid="{63FF4196-2FD9-4E31-878F-C3FA3F398002}">
      <formula1>entrate_lista</formula1>
    </dataValidation>
    <dataValidation type="list" allowBlank="1" showInputMessage="1" showErrorMessage="1" sqref="K8" xr:uid="{F0355B67-57BA-46BA-81ED-6494FFEF4210}">
      <formula1>carte_lista</formula1>
    </dataValidation>
    <dataValidation type="list" allowBlank="1" showInputMessage="1" showErrorMessage="1" sqref="K9" xr:uid="{A9054357-8567-458A-BB56-F89F78349ADB}">
      <formula1>persone_lista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imentoEntrata">
                <anchor>
                  <from>
                    <xdr:col>8</xdr:col>
                    <xdr:colOff>472440</xdr:colOff>
                    <xdr:row>9</xdr:row>
                    <xdr:rowOff>114300</xdr:rowOff>
                  </from>
                  <to>
                    <xdr:col>11</xdr:col>
                    <xdr:colOff>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378A-0C94-4880-AD03-0543C9FFEE3A}">
  <sheetPr codeName="Foglio4">
    <tabColor rgb="FFC00000"/>
  </sheetPr>
  <dimension ref="B1:R104"/>
  <sheetViews>
    <sheetView topLeftCell="C1" zoomScale="68" zoomScaleNormal="85" workbookViewId="0">
      <selection activeCell="P22" sqref="P22:P27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27.21875" style="1" customWidth="1"/>
    <col min="6" max="6" width="24.33203125" style="1" customWidth="1"/>
    <col min="7" max="7" width="16.33203125" style="1" customWidth="1"/>
    <col min="8" max="8" width="15.6640625" style="1" customWidth="1"/>
    <col min="9" max="9" width="14.33203125" style="1" customWidth="1"/>
    <col min="10" max="10" width="13.77734375" style="1" customWidth="1"/>
    <col min="11" max="11" width="12.44140625" style="1" customWidth="1"/>
    <col min="12" max="12" width="29.44140625" style="1" customWidth="1"/>
    <col min="13" max="13" width="14.44140625" style="1" bestFit="1" customWidth="1"/>
    <col min="14" max="14" width="15.5546875" style="1" customWidth="1"/>
    <col min="15" max="15" width="9.33203125" style="1" customWidth="1"/>
    <col min="16" max="16" width="24.88671875" style="1" customWidth="1"/>
    <col min="17" max="17" width="27.21875" style="1" customWidth="1"/>
    <col min="18" max="18" width="8.88671875" style="1"/>
    <col min="19" max="19" width="8.88671875" style="1" customWidth="1"/>
    <col min="20" max="16384" width="8.88671875" style="1"/>
  </cols>
  <sheetData>
    <row r="1" spans="2:18" ht="15" thickBot="1" x14ac:dyDescent="0.35"/>
    <row r="2" spans="2:18" ht="15" thickBot="1" x14ac:dyDescent="0.35">
      <c r="P2" s="189" t="s">
        <v>149</v>
      </c>
      <c r="Q2" s="190"/>
    </row>
    <row r="3" spans="2:18" x14ac:dyDescent="0.3">
      <c r="J3" s="110"/>
      <c r="P3" s="24" t="s">
        <v>17</v>
      </c>
      <c r="Q3" s="69">
        <v>45943</v>
      </c>
    </row>
    <row r="4" spans="2:18" x14ac:dyDescent="0.3">
      <c r="J4" s="110"/>
      <c r="P4" s="25" t="s">
        <v>18</v>
      </c>
      <c r="Q4" s="70" t="str">
        <f>_xlfn.XLOOKUP(MONTH(Q3),tbl_mesi[n],tbl_mesi[mese])</f>
        <v>ottobre</v>
      </c>
    </row>
    <row r="5" spans="2:18" x14ac:dyDescent="0.3">
      <c r="P5" s="25" t="s">
        <v>19</v>
      </c>
      <c r="Q5" s="165" t="s">
        <v>246</v>
      </c>
    </row>
    <row r="6" spans="2:18" x14ac:dyDescent="0.3">
      <c r="P6" s="26" t="s">
        <v>20</v>
      </c>
      <c r="Q6" s="143" t="s">
        <v>248</v>
      </c>
    </row>
    <row r="7" spans="2:18" x14ac:dyDescent="0.3">
      <c r="P7" s="25" t="s">
        <v>237</v>
      </c>
      <c r="Q7" s="75">
        <v>22.4</v>
      </c>
      <c r="R7" s="67"/>
    </row>
    <row r="8" spans="2:18" x14ac:dyDescent="0.3">
      <c r="P8" s="26" t="s">
        <v>256</v>
      </c>
      <c r="Q8" s="248"/>
      <c r="R8" s="68"/>
    </row>
    <row r="9" spans="2:18" x14ac:dyDescent="0.3">
      <c r="P9" s="25" t="s">
        <v>22</v>
      </c>
      <c r="Q9" s="244" t="s">
        <v>191</v>
      </c>
    </row>
    <row r="10" spans="2:18" x14ac:dyDescent="0.3">
      <c r="P10" s="26" t="s">
        <v>173</v>
      </c>
      <c r="Q10" s="248" t="s">
        <v>169</v>
      </c>
    </row>
    <row r="11" spans="2:18" ht="15" thickBot="1" x14ac:dyDescent="0.35">
      <c r="B11" s="107" t="s">
        <v>236</v>
      </c>
      <c r="C11" s="2" t="s">
        <v>0</v>
      </c>
      <c r="D11" s="2" t="s">
        <v>1</v>
      </c>
      <c r="E11" s="2" t="s">
        <v>2</v>
      </c>
      <c r="F11" s="2" t="s">
        <v>106</v>
      </c>
      <c r="G11" s="107" t="s">
        <v>238</v>
      </c>
      <c r="H11" s="107" t="s">
        <v>242</v>
      </c>
      <c r="I11" s="107" t="s">
        <v>239</v>
      </c>
      <c r="J11" s="129" t="s">
        <v>252</v>
      </c>
      <c r="K11" s="144" t="s">
        <v>255</v>
      </c>
      <c r="L11" s="2" t="s">
        <v>4</v>
      </c>
      <c r="M11" s="2" t="s">
        <v>174</v>
      </c>
      <c r="N11" s="2" t="s">
        <v>176</v>
      </c>
      <c r="P11" s="73" t="s">
        <v>175</v>
      </c>
      <c r="Q11" s="72" t="s">
        <v>157</v>
      </c>
    </row>
    <row r="12" spans="2:18" x14ac:dyDescent="0.3">
      <c r="B12" s="245">
        <v>93</v>
      </c>
      <c r="C12" s="246">
        <v>45943</v>
      </c>
      <c r="D12" s="210" t="s">
        <v>15</v>
      </c>
      <c r="E12" s="210" t="s">
        <v>246</v>
      </c>
      <c r="F12" s="232" t="s">
        <v>248</v>
      </c>
      <c r="G12" s="247">
        <v>22.4</v>
      </c>
      <c r="H12" s="155">
        <f>SUMIF(tbl_rimborsi_compilazione[SP_ID],tbl_spese_compilazione[[#This Row],[SP_ID]],tbl_rimborsi_compilazione[Euro])</f>
        <v>0</v>
      </c>
      <c r="I12" s="156">
        <f>IF(tbl_spese_compilazione[[#This Row],[Euro Lordo]]-tbl_spese_compilazione[[#This Row],[Rimborso tot]]&lt;0,0,tbl_spese_compilazione[[#This Row],[Euro Lordo]]-tbl_spese_compilazione[[#This Row],[Rimborso tot]])</f>
        <v>22.4</v>
      </c>
      <c r="J12" s="113">
        <f>IF(tbl_spese_compilazione[[#This Row],[Rimborso tot]]&gt;tbl_spese_compilazione[[#This Row],[Euro Lordo]],H12-tbl_spese_compilazione[[#This Row],[Euro Lordo]],0)</f>
        <v>0</v>
      </c>
      <c r="K12" s="113"/>
      <c r="L12" s="232" t="s">
        <v>191</v>
      </c>
      <c r="M12" s="74" t="s">
        <v>169</v>
      </c>
      <c r="N12" s="74" t="s">
        <v>157</v>
      </c>
    </row>
    <row r="13" spans="2:18" x14ac:dyDescent="0.3">
      <c r="B13" s="245">
        <v>92</v>
      </c>
      <c r="C13" s="246">
        <v>45943</v>
      </c>
      <c r="D13" s="210" t="s">
        <v>15</v>
      </c>
      <c r="E13" s="210" t="s">
        <v>64</v>
      </c>
      <c r="F13" s="232" t="s">
        <v>98</v>
      </c>
      <c r="G13" s="247">
        <v>250</v>
      </c>
      <c r="H13" s="155">
        <f>SUMIF(tbl_rimborsi_compilazione[SP_ID],tbl_spese_compilazione[[#This Row],[SP_ID]],tbl_rimborsi_compilazione[Euro])</f>
        <v>0</v>
      </c>
      <c r="I13" s="156">
        <f>IF(tbl_spese_compilazione[[#This Row],[Euro Lordo]]-tbl_spese_compilazione[[#This Row],[Rimborso tot]]&lt;0,0,tbl_spese_compilazione[[#This Row],[Euro Lordo]]-tbl_spese_compilazione[[#This Row],[Rimborso tot]])</f>
        <v>250</v>
      </c>
      <c r="J13" s="113">
        <f>IF(tbl_spese_compilazione[[#This Row],[Rimborso tot]]&gt;tbl_spese_compilazione[[#This Row],[Euro Lordo]],H13-tbl_spese_compilazione[[#This Row],[Euro Lordo]],0)</f>
        <v>0</v>
      </c>
      <c r="K13" s="113" t="s">
        <v>301</v>
      </c>
      <c r="L13" s="232" t="s">
        <v>193</v>
      </c>
      <c r="M13" s="74" t="s">
        <v>168</v>
      </c>
      <c r="N13" s="74" t="s">
        <v>157</v>
      </c>
    </row>
    <row r="14" spans="2:18" x14ac:dyDescent="0.3">
      <c r="B14" s="245">
        <v>91</v>
      </c>
      <c r="C14" s="246">
        <v>45943</v>
      </c>
      <c r="D14" s="210" t="s">
        <v>15</v>
      </c>
      <c r="E14" s="210" t="s">
        <v>35</v>
      </c>
      <c r="F14" s="232" t="s">
        <v>282</v>
      </c>
      <c r="G14" s="247">
        <v>23.95</v>
      </c>
      <c r="H14" s="155">
        <f>SUMIF(tbl_rimborsi_compilazione[SP_ID],tbl_spese_compilazione[[#This Row],[SP_ID]],tbl_rimborsi_compilazione[Euro])</f>
        <v>0</v>
      </c>
      <c r="I14" s="156">
        <f>IF(tbl_spese_compilazione[[#This Row],[Euro Lordo]]-tbl_spese_compilazione[[#This Row],[Rimborso tot]]&lt;0,0,tbl_spese_compilazione[[#This Row],[Euro Lordo]]-tbl_spese_compilazione[[#This Row],[Rimborso tot]])</f>
        <v>23.95</v>
      </c>
      <c r="J14" s="113">
        <f>IF(tbl_spese_compilazione[[#This Row],[Rimborso tot]]&gt;tbl_spese_compilazione[[#This Row],[Euro Lordo]],H14-tbl_spese_compilazione[[#This Row],[Euro Lordo]],0)</f>
        <v>0</v>
      </c>
      <c r="K14" s="113"/>
      <c r="L14" s="232" t="s">
        <v>300</v>
      </c>
      <c r="M14" s="74" t="s">
        <v>169</v>
      </c>
      <c r="N14" s="74" t="s">
        <v>157</v>
      </c>
    </row>
    <row r="15" spans="2:18" x14ac:dyDescent="0.3">
      <c r="B15" s="245">
        <v>90</v>
      </c>
      <c r="C15" s="246">
        <v>45942</v>
      </c>
      <c r="D15" s="210" t="s">
        <v>15</v>
      </c>
      <c r="E15" s="210" t="s">
        <v>64</v>
      </c>
      <c r="F15" s="232" t="s">
        <v>96</v>
      </c>
      <c r="G15" s="247">
        <v>1</v>
      </c>
      <c r="H15" s="155">
        <f>SUMIF(tbl_rimborsi_compilazione[SP_ID],tbl_spese_compilazione[[#This Row],[SP_ID]],tbl_rimborsi_compilazione[Euro])</f>
        <v>0</v>
      </c>
      <c r="I15" s="156">
        <f>IF(tbl_spese_compilazione[[#This Row],[Euro Lordo]]-tbl_spese_compilazione[[#This Row],[Rimborso tot]]&lt;0,0,tbl_spese_compilazione[[#This Row],[Euro Lordo]]-tbl_spese_compilazione[[#This Row],[Rimborso tot]])</f>
        <v>1</v>
      </c>
      <c r="J15" s="113">
        <f>IF(tbl_spese_compilazione[[#This Row],[Rimborso tot]]&gt;tbl_spese_compilazione[[#This Row],[Euro Lordo]],H15-tbl_spese_compilazione[[#This Row],[Euro Lordo]],0)</f>
        <v>0</v>
      </c>
      <c r="K15" s="113"/>
      <c r="L15" s="232"/>
      <c r="M15" s="74" t="s">
        <v>168</v>
      </c>
      <c r="N15" s="74" t="s">
        <v>157</v>
      </c>
    </row>
    <row r="16" spans="2:18" x14ac:dyDescent="0.3">
      <c r="B16" s="245">
        <v>89</v>
      </c>
      <c r="C16" s="246">
        <v>45942</v>
      </c>
      <c r="D16" s="210" t="s">
        <v>15</v>
      </c>
      <c r="E16" s="210" t="s">
        <v>74</v>
      </c>
      <c r="F16" s="232" t="s">
        <v>80</v>
      </c>
      <c r="G16" s="247">
        <v>2</v>
      </c>
      <c r="H16" s="155">
        <f>SUMIF(tbl_rimborsi_compilazione[SP_ID],tbl_spese_compilazione[[#This Row],[SP_ID]],tbl_rimborsi_compilazione[Euro])</f>
        <v>0</v>
      </c>
      <c r="I16" s="156">
        <f>IF(tbl_spese_compilazione[[#This Row],[Euro Lordo]]-tbl_spese_compilazione[[#This Row],[Rimborso tot]]&lt;0,0,tbl_spese_compilazione[[#This Row],[Euro Lordo]]-tbl_spese_compilazione[[#This Row],[Rimborso tot]])</f>
        <v>2</v>
      </c>
      <c r="J16" s="113">
        <f>IF(tbl_spese_compilazione[[#This Row],[Rimborso tot]]&gt;tbl_spese_compilazione[[#This Row],[Euro Lordo]],H16-tbl_spese_compilazione[[#This Row],[Euro Lordo]],0)</f>
        <v>0</v>
      </c>
      <c r="K16" s="113"/>
      <c r="L16" s="232"/>
      <c r="M16" s="74" t="s">
        <v>169</v>
      </c>
      <c r="N16" s="74" t="s">
        <v>157</v>
      </c>
    </row>
    <row r="17" spans="2:18" x14ac:dyDescent="0.3">
      <c r="B17" s="245">
        <v>88</v>
      </c>
      <c r="C17" s="246">
        <v>45942</v>
      </c>
      <c r="D17" s="210" t="s">
        <v>15</v>
      </c>
      <c r="E17" s="210" t="s">
        <v>74</v>
      </c>
      <c r="F17" s="232" t="s">
        <v>85</v>
      </c>
      <c r="G17" s="247">
        <v>13.55</v>
      </c>
      <c r="H17" s="155">
        <f>SUMIF(tbl_rimborsi_compilazione[SP_ID],tbl_spese_compilazione[[#This Row],[SP_ID]],tbl_rimborsi_compilazione[Euro])</f>
        <v>0</v>
      </c>
      <c r="I17" s="156">
        <f>IF(tbl_spese_compilazione[[#This Row],[Euro Lordo]]-tbl_spese_compilazione[[#This Row],[Rimborso tot]]&lt;0,0,tbl_spese_compilazione[[#This Row],[Euro Lordo]]-tbl_spese_compilazione[[#This Row],[Rimborso tot]])</f>
        <v>13.55</v>
      </c>
      <c r="J17" s="113">
        <f>IF(tbl_spese_compilazione[[#This Row],[Rimborso tot]]&gt;tbl_spese_compilazione[[#This Row],[Euro Lordo]],H17-tbl_spese_compilazione[[#This Row],[Euro Lordo]],0)</f>
        <v>0</v>
      </c>
      <c r="K17" s="113"/>
      <c r="L17" s="232" t="s">
        <v>200</v>
      </c>
      <c r="M17" s="74" t="s">
        <v>169</v>
      </c>
      <c r="N17" s="74" t="s">
        <v>157</v>
      </c>
    </row>
    <row r="18" spans="2:18" x14ac:dyDescent="0.3">
      <c r="B18" s="245">
        <v>87</v>
      </c>
      <c r="C18" s="246">
        <v>45941</v>
      </c>
      <c r="D18" s="210" t="s">
        <v>15</v>
      </c>
      <c r="E18" s="210" t="s">
        <v>74</v>
      </c>
      <c r="F18" s="232" t="s">
        <v>85</v>
      </c>
      <c r="G18" s="247">
        <v>158.5</v>
      </c>
      <c r="H18" s="155">
        <f>SUMIF(tbl_rimborsi_compilazione[SP_ID],tbl_spese_compilazione[[#This Row],[SP_ID]],tbl_rimborsi_compilazione[Euro])</f>
        <v>127</v>
      </c>
      <c r="I18" s="156">
        <f>IF(tbl_spese_compilazione[[#This Row],[Euro Lordo]]-tbl_spese_compilazione[[#This Row],[Rimborso tot]]&lt;0,0,tbl_spese_compilazione[[#This Row],[Euro Lordo]]-tbl_spese_compilazione[[#This Row],[Rimborso tot]])</f>
        <v>31.5</v>
      </c>
      <c r="J18" s="113">
        <f>IF(tbl_spese_compilazione[[#This Row],[Rimborso tot]]&gt;tbl_spese_compilazione[[#This Row],[Euro Lordo]],H18-tbl_spese_compilazione[[#This Row],[Euro Lordo]],0)</f>
        <v>0</v>
      </c>
      <c r="K18" s="113"/>
      <c r="L18" s="232" t="s">
        <v>298</v>
      </c>
      <c r="M18" s="74" t="s">
        <v>167</v>
      </c>
      <c r="N18" s="74" t="s">
        <v>157</v>
      </c>
    </row>
    <row r="19" spans="2:18" x14ac:dyDescent="0.3">
      <c r="B19" s="74">
        <v>86</v>
      </c>
      <c r="C19" s="175">
        <v>45941</v>
      </c>
      <c r="D19" s="172" t="s">
        <v>15</v>
      </c>
      <c r="E19" s="172" t="s">
        <v>34</v>
      </c>
      <c r="F19" s="171" t="s">
        <v>52</v>
      </c>
      <c r="G19" s="176">
        <v>451.36</v>
      </c>
      <c r="H19" s="155">
        <f>SUMIF(tbl_rimborsi_compilazione[SP_ID],tbl_spese_compilazione[[#This Row],[SP_ID]],tbl_rimborsi_compilazione[Euro])</f>
        <v>0</v>
      </c>
      <c r="I19" s="156">
        <f>IF(tbl_spese_compilazione[[#This Row],[Euro Lordo]]-tbl_spese_compilazione[[#This Row],[Rimborso tot]]&lt;0,0,tbl_spese_compilazione[[#This Row],[Euro Lordo]]-tbl_spese_compilazione[[#This Row],[Rimborso tot]])</f>
        <v>451.36</v>
      </c>
      <c r="J19" s="113">
        <f>IF(tbl_spese_compilazione[[#This Row],[Rimborso tot]]&gt;tbl_spese_compilazione[[#This Row],[Euro Lordo]],H19-tbl_spese_compilazione[[#This Row],[Euro Lordo]],0)</f>
        <v>0</v>
      </c>
      <c r="K19" s="113"/>
      <c r="L19" s="171" t="s">
        <v>284</v>
      </c>
      <c r="M19" s="74" t="s">
        <v>168</v>
      </c>
      <c r="N19" s="74" t="s">
        <v>157</v>
      </c>
    </row>
    <row r="20" spans="2:18" x14ac:dyDescent="0.3">
      <c r="B20" s="74">
        <v>85</v>
      </c>
      <c r="C20" s="175">
        <v>45941</v>
      </c>
      <c r="D20" s="172" t="s">
        <v>15</v>
      </c>
      <c r="E20" s="172" t="s">
        <v>64</v>
      </c>
      <c r="F20" s="171" t="s">
        <v>96</v>
      </c>
      <c r="G20" s="176">
        <v>1</v>
      </c>
      <c r="H20" s="155">
        <f>SUMIF(tbl_rimborsi_compilazione[SP_ID],tbl_spese_compilazione[[#This Row],[SP_ID]],tbl_rimborsi_compilazione[Euro])</f>
        <v>0</v>
      </c>
      <c r="I20" s="156">
        <f>IF(tbl_spese_compilazione[[#This Row],[Euro Lordo]]-tbl_spese_compilazione[[#This Row],[Rimborso tot]]&lt;0,0,tbl_spese_compilazione[[#This Row],[Euro Lordo]]-tbl_spese_compilazione[[#This Row],[Rimborso tot]])</f>
        <v>1</v>
      </c>
      <c r="J20" s="113">
        <f>IF(tbl_spese_compilazione[[#This Row],[Rimborso tot]]&gt;tbl_spese_compilazione[[#This Row],[Euro Lordo]],H20-tbl_spese_compilazione[[#This Row],[Euro Lordo]],0)</f>
        <v>0</v>
      </c>
      <c r="K20" s="113"/>
      <c r="L20" s="171"/>
      <c r="M20" s="74" t="s">
        <v>168</v>
      </c>
      <c r="N20" s="74" t="s">
        <v>157</v>
      </c>
    </row>
    <row r="21" spans="2:18" x14ac:dyDescent="0.3">
      <c r="B21" s="74">
        <v>84</v>
      </c>
      <c r="C21" s="175">
        <v>45943</v>
      </c>
      <c r="D21" s="172" t="s">
        <v>15</v>
      </c>
      <c r="E21" s="172" t="s">
        <v>64</v>
      </c>
      <c r="F21" s="171" t="s">
        <v>92</v>
      </c>
      <c r="G21" s="176">
        <v>3.9</v>
      </c>
      <c r="H21" s="155">
        <f>SUMIF(tbl_rimborsi_compilazione[SP_ID],tbl_spese_compilazione[[#This Row],[SP_ID]],tbl_rimborsi_compilazione[Euro])</f>
        <v>0</v>
      </c>
      <c r="I21" s="156">
        <f>IF(tbl_spese_compilazione[[#This Row],[Euro Lordo]]-tbl_spese_compilazione[[#This Row],[Rimborso tot]]&lt;0,0,tbl_spese_compilazione[[#This Row],[Euro Lordo]]-tbl_spese_compilazione[[#This Row],[Rimborso tot]])</f>
        <v>3.9</v>
      </c>
      <c r="J21" s="113">
        <f>IF(tbl_spese_compilazione[[#This Row],[Rimborso tot]]&gt;tbl_spese_compilazione[[#This Row],[Euro Lordo]],H21-tbl_spese_compilazione[[#This Row],[Euro Lordo]],0)</f>
        <v>0</v>
      </c>
      <c r="K21" s="113"/>
      <c r="L21" s="171"/>
      <c r="M21" s="74" t="s">
        <v>168</v>
      </c>
      <c r="N21" s="74" t="s">
        <v>157</v>
      </c>
    </row>
    <row r="22" spans="2:18" x14ac:dyDescent="0.3">
      <c r="B22" s="74">
        <v>83</v>
      </c>
      <c r="C22" s="175">
        <v>45939</v>
      </c>
      <c r="D22" s="172" t="s">
        <v>15</v>
      </c>
      <c r="E22" s="172" t="s">
        <v>71</v>
      </c>
      <c r="F22" s="171" t="s">
        <v>190</v>
      </c>
      <c r="G22" s="176">
        <v>36</v>
      </c>
      <c r="H22" s="155">
        <f>SUMIF(tbl_rimborsi_compilazione[SP_ID],tbl_spese_compilazione[[#This Row],[SP_ID]],tbl_rimborsi_compilazione[Euro])</f>
        <v>18</v>
      </c>
      <c r="I22" s="156">
        <f>IF(tbl_spese_compilazione[[#This Row],[Euro Lordo]]-tbl_spese_compilazione[[#This Row],[Rimborso tot]]&lt;0,0,tbl_spese_compilazione[[#This Row],[Euro Lordo]]-tbl_spese_compilazione[[#This Row],[Rimborso tot]])</f>
        <v>18</v>
      </c>
      <c r="J22" s="113">
        <f>IF(tbl_spese_compilazione[[#This Row],[Rimborso tot]]&gt;tbl_spese_compilazione[[#This Row],[Euro Lordo]],H22-tbl_spese_compilazione[[#This Row],[Euro Lordo]],0)</f>
        <v>0</v>
      </c>
      <c r="K22" s="113"/>
      <c r="L22" s="171" t="s">
        <v>210</v>
      </c>
      <c r="M22" s="74" t="s">
        <v>169</v>
      </c>
      <c r="N22" s="74" t="s">
        <v>157</v>
      </c>
    </row>
    <row r="23" spans="2:18" x14ac:dyDescent="0.3">
      <c r="B23" s="74">
        <v>82</v>
      </c>
      <c r="C23" s="175">
        <v>45939</v>
      </c>
      <c r="D23" s="172" t="s">
        <v>15</v>
      </c>
      <c r="E23" s="172" t="s">
        <v>246</v>
      </c>
      <c r="F23" s="171" t="s">
        <v>248</v>
      </c>
      <c r="G23" s="176">
        <v>10</v>
      </c>
      <c r="H23" s="155">
        <f>SUMIF(tbl_rimborsi_compilazione[SP_ID],tbl_spese_compilazione[[#This Row],[SP_ID]],tbl_rimborsi_compilazione[Euro])</f>
        <v>0</v>
      </c>
      <c r="I23" s="156">
        <f>IF(tbl_spese_compilazione[[#This Row],[Euro Lordo]]-tbl_spese_compilazione[[#This Row],[Rimborso tot]]&lt;0,0,tbl_spese_compilazione[[#This Row],[Euro Lordo]]-tbl_spese_compilazione[[#This Row],[Rimborso tot]])</f>
        <v>10</v>
      </c>
      <c r="J23" s="113">
        <f>IF(tbl_spese_compilazione[[#This Row],[Rimborso tot]]&gt;tbl_spese_compilazione[[#This Row],[Euro Lordo]],H23-tbl_spese_compilazione[[#This Row],[Euro Lordo]],0)</f>
        <v>0</v>
      </c>
      <c r="K23" s="113"/>
      <c r="L23" s="171" t="s">
        <v>191</v>
      </c>
      <c r="M23" s="74" t="s">
        <v>169</v>
      </c>
      <c r="N23" s="74" t="s">
        <v>157</v>
      </c>
    </row>
    <row r="24" spans="2:18" x14ac:dyDescent="0.3">
      <c r="B24" s="74">
        <v>81</v>
      </c>
      <c r="C24" s="166">
        <v>45938</v>
      </c>
      <c r="D24" s="163" t="s">
        <v>15</v>
      </c>
      <c r="E24" s="163" t="s">
        <v>71</v>
      </c>
      <c r="F24" s="164" t="s">
        <v>77</v>
      </c>
      <c r="G24" s="167">
        <v>15.19</v>
      </c>
      <c r="H24" s="155">
        <f>SUMIF(tbl_rimborsi_compilazione[SP_ID],tbl_spese_compilazione[[#This Row],[SP_ID]],tbl_rimborsi_compilazione[Euro])</f>
        <v>10</v>
      </c>
      <c r="I24" s="156">
        <f>IF(tbl_spese_compilazione[[#This Row],[Euro Lordo]]-tbl_spese_compilazione[[#This Row],[Rimborso tot]]&lt;0,0,tbl_spese_compilazione[[#This Row],[Euro Lordo]]-tbl_spese_compilazione[[#This Row],[Rimborso tot]])</f>
        <v>5.1899999999999995</v>
      </c>
      <c r="J24" s="113">
        <f>IF(tbl_spese_compilazione[[#This Row],[Rimborso tot]]&gt;tbl_spese_compilazione[[#This Row],[Euro Lordo]],H24-tbl_spese_compilazione[[#This Row],[Euro Lordo]],0)</f>
        <v>0</v>
      </c>
      <c r="K24" s="113"/>
      <c r="L24" s="164" t="s">
        <v>210</v>
      </c>
      <c r="M24" s="74" t="s">
        <v>169</v>
      </c>
      <c r="N24" s="74" t="s">
        <v>157</v>
      </c>
    </row>
    <row r="25" spans="2:18" x14ac:dyDescent="0.3">
      <c r="B25" s="74">
        <v>80</v>
      </c>
      <c r="C25" s="130">
        <v>45938</v>
      </c>
      <c r="D25" s="131" t="s">
        <v>15</v>
      </c>
      <c r="E25" s="131" t="s">
        <v>49</v>
      </c>
      <c r="F25" s="133"/>
      <c r="G25" s="157">
        <v>8.5500000000000007</v>
      </c>
      <c r="H25" s="155">
        <f>SUMIF(tbl_rimborsi_compilazione[SP_ID],tbl_spese_compilazione[[#This Row],[SP_ID]],tbl_rimborsi_compilazione[Euro])</f>
        <v>0</v>
      </c>
      <c r="I25" s="156">
        <f>IF(tbl_spese_compilazione[[#This Row],[Euro Lordo]]-tbl_spese_compilazione[[#This Row],[Rimborso tot]]&lt;0,0,tbl_spese_compilazione[[#This Row],[Euro Lordo]]-tbl_spese_compilazione[[#This Row],[Rimborso tot]])</f>
        <v>8.5500000000000007</v>
      </c>
      <c r="J25" s="113">
        <f>IF(tbl_spese_compilazione[[#This Row],[Rimborso tot]]&gt;tbl_spese_compilazione[[#This Row],[Euro Lordo]],H25-tbl_spese_compilazione[[#This Row],[Euro Lordo]],0)</f>
        <v>0</v>
      </c>
      <c r="K25" s="113"/>
      <c r="L25" s="133"/>
      <c r="M25" s="74" t="s">
        <v>167</v>
      </c>
      <c r="N25" s="74" t="s">
        <v>157</v>
      </c>
      <c r="P25" s="137"/>
      <c r="Q25" s="137"/>
      <c r="R25" s="137"/>
    </row>
    <row r="26" spans="2:18" x14ac:dyDescent="0.3">
      <c r="B26" s="74">
        <v>79</v>
      </c>
      <c r="C26" s="130">
        <v>45936</v>
      </c>
      <c r="D26" s="131" t="s">
        <v>15</v>
      </c>
      <c r="E26" s="131" t="s">
        <v>35</v>
      </c>
      <c r="F26" s="171" t="s">
        <v>282</v>
      </c>
      <c r="G26" s="157">
        <v>25.49</v>
      </c>
      <c r="H26" s="155">
        <f>SUMIF(tbl_rimborsi_compilazione[SP_ID],tbl_spese_compilazione[[#This Row],[SP_ID]],tbl_rimborsi_compilazione[Euro])</f>
        <v>25</v>
      </c>
      <c r="I26" s="156">
        <f>IF(tbl_spese_compilazione[[#This Row],[Euro Lordo]]-tbl_spese_compilazione[[#This Row],[Rimborso tot]]&lt;0,0,tbl_spese_compilazione[[#This Row],[Euro Lordo]]-tbl_spese_compilazione[[#This Row],[Rimborso tot]])</f>
        <v>0.48999999999999844</v>
      </c>
      <c r="J26" s="113">
        <f>IF(tbl_spese_compilazione[[#This Row],[Rimborso tot]]&gt;tbl_spese_compilazione[[#This Row],[Euro Lordo]],H26-tbl_spese_compilazione[[#This Row],[Euro Lordo]],0)</f>
        <v>0</v>
      </c>
      <c r="K26" s="113"/>
      <c r="L26" s="133" t="s">
        <v>281</v>
      </c>
      <c r="M26" s="74" t="s">
        <v>169</v>
      </c>
      <c r="N26" s="74" t="s">
        <v>157</v>
      </c>
    </row>
    <row r="27" spans="2:18" x14ac:dyDescent="0.3">
      <c r="B27" s="74">
        <v>78</v>
      </c>
      <c r="C27" s="130">
        <v>45938</v>
      </c>
      <c r="D27" s="131" t="s">
        <v>15</v>
      </c>
      <c r="E27" s="131" t="s">
        <v>246</v>
      </c>
      <c r="F27" s="133" t="s">
        <v>248</v>
      </c>
      <c r="G27" s="157">
        <v>11</v>
      </c>
      <c r="H27" s="155">
        <f>SUMIF(tbl_rimborsi_compilazione[SP_ID],tbl_spese_compilazione[[#This Row],[SP_ID]],tbl_rimborsi_compilazione[Euro])</f>
        <v>0</v>
      </c>
      <c r="I27" s="156">
        <f>IF(tbl_spese_compilazione[[#This Row],[Euro Lordo]]-tbl_spese_compilazione[[#This Row],[Rimborso tot]]&lt;0,0,tbl_spese_compilazione[[#This Row],[Euro Lordo]]-tbl_spese_compilazione[[#This Row],[Rimborso tot]])</f>
        <v>11</v>
      </c>
      <c r="J27" s="113">
        <f>IF(tbl_spese_compilazione[[#This Row],[Rimborso tot]]&gt;tbl_spese_compilazione[[#This Row],[Euro Lordo]],H27-tbl_spese_compilazione[[#This Row],[Euro Lordo]],0)</f>
        <v>0</v>
      </c>
      <c r="K27" s="113"/>
      <c r="L27" s="133" t="s">
        <v>191</v>
      </c>
      <c r="M27" s="74" t="s">
        <v>169</v>
      </c>
      <c r="N27" s="74" t="s">
        <v>157</v>
      </c>
    </row>
    <row r="28" spans="2:18" x14ac:dyDescent="0.3">
      <c r="B28" s="74">
        <v>77</v>
      </c>
      <c r="C28" s="130">
        <v>45938</v>
      </c>
      <c r="D28" s="131" t="s">
        <v>15</v>
      </c>
      <c r="E28" s="131" t="s">
        <v>35</v>
      </c>
      <c r="F28" s="171" t="s">
        <v>282</v>
      </c>
      <c r="G28" s="157">
        <v>14.98</v>
      </c>
      <c r="H28" s="155">
        <f>SUMIF(tbl_rimborsi_compilazione[SP_ID],tbl_spese_compilazione[[#This Row],[SP_ID]],tbl_rimborsi_compilazione[Euro])</f>
        <v>0</v>
      </c>
      <c r="I28" s="156">
        <f>IF(tbl_spese_compilazione[[#This Row],[Euro Lordo]]-tbl_spese_compilazione[[#This Row],[Rimborso tot]]&lt;0,0,tbl_spese_compilazione[[#This Row],[Euro Lordo]]-tbl_spese_compilazione[[#This Row],[Rimborso tot]])</f>
        <v>14.98</v>
      </c>
      <c r="J28" s="113">
        <f>IF(tbl_spese_compilazione[[#This Row],[Rimborso tot]]&gt;tbl_spese_compilazione[[#This Row],[Euro Lordo]],H28-tbl_spese_compilazione[[#This Row],[Euro Lordo]],0)</f>
        <v>0</v>
      </c>
      <c r="K28" s="113"/>
      <c r="L28" s="133" t="s">
        <v>280</v>
      </c>
      <c r="M28" s="74" t="s">
        <v>169</v>
      </c>
      <c r="N28" s="74" t="s">
        <v>157</v>
      </c>
    </row>
    <row r="29" spans="2:18" x14ac:dyDescent="0.3">
      <c r="B29" s="74">
        <v>76</v>
      </c>
      <c r="C29" s="130">
        <v>45937</v>
      </c>
      <c r="D29" s="131" t="s">
        <v>15</v>
      </c>
      <c r="E29" s="131" t="s">
        <v>74</v>
      </c>
      <c r="F29" s="133" t="s">
        <v>85</v>
      </c>
      <c r="G29" s="157">
        <v>26.75</v>
      </c>
      <c r="H29" s="155">
        <f>SUMIF(tbl_rimborsi_compilazione[SP_ID],tbl_spese_compilazione[[#This Row],[SP_ID]],tbl_rimborsi_compilazione[Euro])</f>
        <v>0</v>
      </c>
      <c r="I29" s="156">
        <f>IF(tbl_spese_compilazione[[#This Row],[Euro Lordo]]-tbl_spese_compilazione[[#This Row],[Rimborso tot]]&lt;0,0,tbl_spese_compilazione[[#This Row],[Euro Lordo]]-tbl_spese_compilazione[[#This Row],[Rimborso tot]])</f>
        <v>26.75</v>
      </c>
      <c r="J29" s="113">
        <f>IF(tbl_spese_compilazione[[#This Row],[Rimborso tot]]&gt;tbl_spese_compilazione[[#This Row],[Euro Lordo]],H29-tbl_spese_compilazione[[#This Row],[Euro Lordo]],0)</f>
        <v>0</v>
      </c>
      <c r="K29" s="113"/>
      <c r="L29" s="133" t="s">
        <v>279</v>
      </c>
      <c r="M29" s="74" t="s">
        <v>169</v>
      </c>
      <c r="N29" s="74" t="s">
        <v>157</v>
      </c>
    </row>
    <row r="30" spans="2:18" x14ac:dyDescent="0.3">
      <c r="B30" s="74">
        <v>75</v>
      </c>
      <c r="C30" s="130">
        <v>45937</v>
      </c>
      <c r="D30" s="131" t="s">
        <v>15</v>
      </c>
      <c r="E30" s="131" t="s">
        <v>74</v>
      </c>
      <c r="F30" s="133" t="s">
        <v>86</v>
      </c>
      <c r="G30" s="157">
        <v>46</v>
      </c>
      <c r="H30" s="155">
        <f>SUMIF(tbl_rimborsi_compilazione[SP_ID],tbl_spese_compilazione[[#This Row],[SP_ID]],tbl_rimborsi_compilazione[Euro])</f>
        <v>45</v>
      </c>
      <c r="I30" s="156">
        <f>IF(tbl_spese_compilazione[[#This Row],[Euro Lordo]]-tbl_spese_compilazione[[#This Row],[Rimborso tot]]&lt;0,0,tbl_spese_compilazione[[#This Row],[Euro Lordo]]-tbl_spese_compilazione[[#This Row],[Rimborso tot]])</f>
        <v>1</v>
      </c>
      <c r="J30" s="113">
        <f>IF(tbl_spese_compilazione[[#This Row],[Rimborso tot]]&gt;tbl_spese_compilazione[[#This Row],[Euro Lordo]],H30-tbl_spese_compilazione[[#This Row],[Euro Lordo]],0)</f>
        <v>0</v>
      </c>
      <c r="K30" s="113"/>
      <c r="L30" s="133" t="s">
        <v>233</v>
      </c>
      <c r="M30" s="74" t="s">
        <v>169</v>
      </c>
      <c r="N30" s="74" t="s">
        <v>157</v>
      </c>
    </row>
    <row r="31" spans="2:18" x14ac:dyDescent="0.3">
      <c r="B31" s="74">
        <v>74</v>
      </c>
      <c r="C31" s="130">
        <v>45937</v>
      </c>
      <c r="D31" s="131" t="s">
        <v>15</v>
      </c>
      <c r="E31" s="131" t="s">
        <v>74</v>
      </c>
      <c r="F31" s="133" t="s">
        <v>85</v>
      </c>
      <c r="G31" s="157">
        <v>11.5</v>
      </c>
      <c r="H31" s="155">
        <f>SUMIF(tbl_rimborsi_compilazione[SP_ID],tbl_spese_compilazione[[#This Row],[SP_ID]],tbl_rimborsi_compilazione[Euro])</f>
        <v>0</v>
      </c>
      <c r="I31" s="156">
        <f>IF(tbl_spese_compilazione[[#This Row],[Euro Lordo]]-tbl_spese_compilazione[[#This Row],[Rimborso tot]]&lt;0,0,tbl_spese_compilazione[[#This Row],[Euro Lordo]]-tbl_spese_compilazione[[#This Row],[Rimborso tot]])</f>
        <v>11.5</v>
      </c>
      <c r="J31" s="113">
        <f>IF(tbl_spese_compilazione[[#This Row],[Rimborso tot]]&gt;tbl_spese_compilazione[[#This Row],[Euro Lordo]],H31-tbl_spese_compilazione[[#This Row],[Euro Lordo]],0)</f>
        <v>0</v>
      </c>
      <c r="K31" s="113"/>
      <c r="L31" s="133" t="s">
        <v>267</v>
      </c>
      <c r="M31" s="74" t="s">
        <v>169</v>
      </c>
      <c r="N31" s="74" t="s">
        <v>157</v>
      </c>
    </row>
    <row r="32" spans="2:18" x14ac:dyDescent="0.3">
      <c r="B32" s="74">
        <v>73</v>
      </c>
      <c r="C32" s="130">
        <v>45935</v>
      </c>
      <c r="D32" s="131" t="s">
        <v>15</v>
      </c>
      <c r="E32" s="131" t="s">
        <v>74</v>
      </c>
      <c r="F32" s="133" t="s">
        <v>85</v>
      </c>
      <c r="G32" s="157">
        <v>52.5</v>
      </c>
      <c r="H32" s="155">
        <f>SUMIF(tbl_rimborsi_compilazione[SP_ID],tbl_spese_compilazione[[#This Row],[SP_ID]],tbl_rimborsi_compilazione[Euro])</f>
        <v>40</v>
      </c>
      <c r="I32" s="156">
        <f>IF(tbl_spese_compilazione[[#This Row],[Euro Lordo]]-tbl_spese_compilazione[[#This Row],[Rimborso tot]]&lt;0,0,tbl_spese_compilazione[[#This Row],[Euro Lordo]]-tbl_spese_compilazione[[#This Row],[Rimborso tot]])</f>
        <v>12.5</v>
      </c>
      <c r="J32" s="113">
        <f>IF(tbl_spese_compilazione[[#This Row],[Rimborso tot]]&gt;tbl_spese_compilazione[[#This Row],[Euro Lordo]],H32-tbl_spese_compilazione[[#This Row],[Euro Lordo]],0)</f>
        <v>0</v>
      </c>
      <c r="K32" s="113"/>
      <c r="L32" s="133" t="s">
        <v>277</v>
      </c>
      <c r="M32" s="74" t="s">
        <v>167</v>
      </c>
      <c r="N32" s="74" t="s">
        <v>157</v>
      </c>
    </row>
    <row r="33" spans="2:18" x14ac:dyDescent="0.3">
      <c r="B33" s="74">
        <v>72</v>
      </c>
      <c r="C33" s="130">
        <v>45935</v>
      </c>
      <c r="D33" s="131" t="s">
        <v>15</v>
      </c>
      <c r="E33" s="131" t="s">
        <v>74</v>
      </c>
      <c r="F33" s="133" t="s">
        <v>80</v>
      </c>
      <c r="G33" s="157">
        <v>17.100000000000001</v>
      </c>
      <c r="H33" s="155">
        <f>SUMIF(tbl_rimborsi_compilazione[SP_ID],tbl_spese_compilazione[[#This Row],[SP_ID]],tbl_rimborsi_compilazione[Euro])</f>
        <v>5</v>
      </c>
      <c r="I33" s="156">
        <f>IF(tbl_spese_compilazione[[#This Row],[Euro Lordo]]-tbl_spese_compilazione[[#This Row],[Rimborso tot]]&lt;0,0,tbl_spese_compilazione[[#This Row],[Euro Lordo]]-tbl_spese_compilazione[[#This Row],[Rimborso tot]])</f>
        <v>12.100000000000001</v>
      </c>
      <c r="J33" s="113">
        <f>IF(tbl_spese_compilazione[[#This Row],[Rimborso tot]]&gt;tbl_spese_compilazione[[#This Row],[Euro Lordo]],H33-tbl_spese_compilazione[[#This Row],[Euro Lordo]],0)</f>
        <v>0</v>
      </c>
      <c r="K33" s="113"/>
      <c r="L33" s="133" t="s">
        <v>276</v>
      </c>
      <c r="M33" s="74" t="s">
        <v>167</v>
      </c>
      <c r="N33" s="74" t="s">
        <v>157</v>
      </c>
      <c r="O33" s="31"/>
      <c r="P33" s="31"/>
      <c r="Q33" s="31"/>
      <c r="R33" s="31"/>
    </row>
    <row r="34" spans="2:18" x14ac:dyDescent="0.3">
      <c r="B34" s="74">
        <v>71</v>
      </c>
      <c r="C34" s="130">
        <v>45934</v>
      </c>
      <c r="D34" s="131" t="s">
        <v>15</v>
      </c>
      <c r="E34" s="131" t="s">
        <v>74</v>
      </c>
      <c r="F34" s="133" t="s">
        <v>80</v>
      </c>
      <c r="G34" s="157">
        <v>29.5</v>
      </c>
      <c r="H34" s="155">
        <f>SUMIF(tbl_rimborsi_compilazione[SP_ID],tbl_spese_compilazione[[#This Row],[SP_ID]],tbl_rimborsi_compilazione[Euro])</f>
        <v>19.8</v>
      </c>
      <c r="I34" s="156">
        <f>IF(tbl_spese_compilazione[[#This Row],[Euro Lordo]]-tbl_spese_compilazione[[#This Row],[Rimborso tot]]&lt;0,0,tbl_spese_compilazione[[#This Row],[Euro Lordo]]-tbl_spese_compilazione[[#This Row],[Rimborso tot]])</f>
        <v>9.6999999999999993</v>
      </c>
      <c r="J34" s="113">
        <f>IF(tbl_spese_compilazione[[#This Row],[Rimborso tot]]&gt;tbl_spese_compilazione[[#This Row],[Euro Lordo]],H34-tbl_spese_compilazione[[#This Row],[Euro Lordo]],0)</f>
        <v>0</v>
      </c>
      <c r="K34" s="113"/>
      <c r="L34" s="133" t="s">
        <v>274</v>
      </c>
      <c r="M34" s="74" t="s">
        <v>169</v>
      </c>
      <c r="N34" s="74" t="s">
        <v>157</v>
      </c>
      <c r="O34" s="31"/>
      <c r="P34" s="31"/>
      <c r="Q34" s="31"/>
      <c r="R34" s="31"/>
    </row>
    <row r="35" spans="2:18" x14ac:dyDescent="0.3">
      <c r="B35" s="74">
        <v>70</v>
      </c>
      <c r="C35" s="130">
        <v>45934</v>
      </c>
      <c r="D35" s="131" t="s">
        <v>15</v>
      </c>
      <c r="E35" s="131" t="s">
        <v>71</v>
      </c>
      <c r="F35" s="133" t="s">
        <v>77</v>
      </c>
      <c r="G35" s="157">
        <v>10</v>
      </c>
      <c r="H35" s="155">
        <f>SUMIF(tbl_rimborsi_compilazione[SP_ID],tbl_spese_compilazione[[#This Row],[SP_ID]],tbl_rimborsi_compilazione[Euro])</f>
        <v>0</v>
      </c>
      <c r="I35" s="156">
        <f>IF(tbl_spese_compilazione[[#This Row],[Euro Lordo]]-tbl_spese_compilazione[[#This Row],[Rimborso tot]]&lt;0,0,tbl_spese_compilazione[[#This Row],[Euro Lordo]]-tbl_spese_compilazione[[#This Row],[Rimborso tot]])</f>
        <v>10</v>
      </c>
      <c r="J35" s="113">
        <f>IF(tbl_spese_compilazione[[#This Row],[Rimborso tot]]&gt;tbl_spese_compilazione[[#This Row],[Euro Lordo]],H35-tbl_spese_compilazione[[#This Row],[Euro Lordo]],0)</f>
        <v>0</v>
      </c>
      <c r="K35" s="113"/>
      <c r="L35" s="133" t="s">
        <v>206</v>
      </c>
      <c r="M35" s="74" t="s">
        <v>167</v>
      </c>
      <c r="N35" s="74" t="s">
        <v>157</v>
      </c>
      <c r="O35" s="93"/>
      <c r="P35" s="93"/>
      <c r="Q35" s="93"/>
      <c r="R35" s="93"/>
    </row>
    <row r="36" spans="2:18" x14ac:dyDescent="0.3">
      <c r="B36" s="74">
        <v>69</v>
      </c>
      <c r="C36" s="130">
        <v>45934</v>
      </c>
      <c r="D36" s="131" t="s">
        <v>15</v>
      </c>
      <c r="E36" s="131" t="s">
        <v>35</v>
      </c>
      <c r="F36" s="171" t="s">
        <v>282</v>
      </c>
      <c r="G36" s="157">
        <v>44.95</v>
      </c>
      <c r="H36" s="155">
        <f>SUMIF(tbl_rimborsi_compilazione[SP_ID],tbl_spese_compilazione[[#This Row],[SP_ID]],tbl_rimborsi_compilazione[Euro])</f>
        <v>0</v>
      </c>
      <c r="I36" s="156">
        <f>IF(tbl_spese_compilazione[[#This Row],[Euro Lordo]]-tbl_spese_compilazione[[#This Row],[Rimborso tot]]&lt;0,0,tbl_spese_compilazione[[#This Row],[Euro Lordo]]-tbl_spese_compilazione[[#This Row],[Rimborso tot]])</f>
        <v>44.95</v>
      </c>
      <c r="J36" s="113">
        <f>IF(tbl_spese_compilazione[[#This Row],[Rimborso tot]]&gt;tbl_spese_compilazione[[#This Row],[Euro Lordo]],H36-tbl_spese_compilazione[[#This Row],[Euro Lordo]],0)</f>
        <v>0</v>
      </c>
      <c r="K36" s="113"/>
      <c r="L36" s="133" t="s">
        <v>273</v>
      </c>
      <c r="M36" s="74" t="s">
        <v>169</v>
      </c>
      <c r="N36" s="74" t="s">
        <v>157</v>
      </c>
    </row>
    <row r="37" spans="2:18" x14ac:dyDescent="0.3">
      <c r="B37" s="74">
        <v>68</v>
      </c>
      <c r="C37" s="130">
        <v>45934</v>
      </c>
      <c r="D37" s="131" t="s">
        <v>15</v>
      </c>
      <c r="E37" s="131" t="s">
        <v>74</v>
      </c>
      <c r="F37" s="133" t="s">
        <v>85</v>
      </c>
      <c r="G37" s="157">
        <v>31.8</v>
      </c>
      <c r="H37" s="155">
        <f>SUMIF(tbl_rimborsi_compilazione[SP_ID],tbl_spese_compilazione[[#This Row],[SP_ID]],tbl_rimborsi_compilazione[Euro])</f>
        <v>10</v>
      </c>
      <c r="I37" s="156">
        <f>IF(tbl_spese_compilazione[[#This Row],[Euro Lordo]]-tbl_spese_compilazione[[#This Row],[Rimborso tot]]&lt;0,0,tbl_spese_compilazione[[#This Row],[Euro Lordo]]-tbl_spese_compilazione[[#This Row],[Rimborso tot]])</f>
        <v>21.8</v>
      </c>
      <c r="J37" s="113">
        <f>IF(tbl_spese_compilazione[[#This Row],[Rimborso tot]]&gt;tbl_spese_compilazione[[#This Row],[Euro Lordo]],H37-tbl_spese_compilazione[[#This Row],[Euro Lordo]],0)</f>
        <v>0</v>
      </c>
      <c r="K37" s="113"/>
      <c r="L37" s="133" t="s">
        <v>272</v>
      </c>
      <c r="M37" s="74" t="s">
        <v>169</v>
      </c>
      <c r="N37" s="74" t="s">
        <v>157</v>
      </c>
    </row>
    <row r="38" spans="2:18" x14ac:dyDescent="0.3">
      <c r="B38" s="108">
        <v>67</v>
      </c>
      <c r="C38" s="145">
        <v>45933</v>
      </c>
      <c r="D38" s="2" t="s">
        <v>15</v>
      </c>
      <c r="E38" s="2" t="s">
        <v>59</v>
      </c>
      <c r="F38" s="2" t="s">
        <v>270</v>
      </c>
      <c r="G38" s="111">
        <v>100</v>
      </c>
      <c r="H38" s="114">
        <f>SUMIF(tbl_rimborsi_compilazione[SP_ID],tbl_spese_compilazione[[#This Row],[SP_ID]],tbl_rimborsi_compilazione[Euro])</f>
        <v>0</v>
      </c>
      <c r="I38" s="115">
        <f>IF(tbl_spese_compilazione[[#This Row],[Euro Lordo]]-tbl_spese_compilazione[[#This Row],[Rimborso tot]]&lt;0,0,tbl_spese_compilazione[[#This Row],[Euro Lordo]]-tbl_spese_compilazione[[#This Row],[Rimborso tot]])</f>
        <v>100</v>
      </c>
      <c r="J38" s="113">
        <f>IF(tbl_spese_compilazione[[#This Row],[Rimborso tot]]&gt;tbl_spese_compilazione[[#This Row],[Euro Lordo]],H38-tbl_spese_compilazione[[#This Row],[Euro Lordo]],0)</f>
        <v>0</v>
      </c>
      <c r="K38" s="144"/>
      <c r="L38" s="2" t="s">
        <v>271</v>
      </c>
      <c r="M38" s="2" t="s">
        <v>167</v>
      </c>
      <c r="N38" s="2" t="s">
        <v>157</v>
      </c>
    </row>
    <row r="39" spans="2:18" x14ac:dyDescent="0.3">
      <c r="B39" s="74">
        <v>66</v>
      </c>
      <c r="C39" s="103">
        <v>45931</v>
      </c>
      <c r="D39" s="104" t="s">
        <v>15</v>
      </c>
      <c r="E39" s="104" t="s">
        <v>35</v>
      </c>
      <c r="F39" s="105" t="s">
        <v>47</v>
      </c>
      <c r="G39" s="106">
        <v>18.100000000000001</v>
      </c>
      <c r="H39" s="113">
        <f>SUMIF(tbl_rimborsi_compilazione[SP_ID],tbl_spese_compilazione[[#This Row],[SP_ID]],tbl_rimborsi_compilazione[Euro])</f>
        <v>0</v>
      </c>
      <c r="I39" s="112">
        <f>IF(tbl_spese_compilazione[[#This Row],[Euro Lordo]]-tbl_spese_compilazione[[#This Row],[Rimborso tot]]&lt;0,0,tbl_spese_compilazione[[#This Row],[Euro Lordo]]-tbl_spese_compilazione[[#This Row],[Rimborso tot]])</f>
        <v>18.100000000000001</v>
      </c>
      <c r="J39" s="113">
        <f>IF(tbl_spese_compilazione[[#This Row],[Rimborso tot]]&gt;tbl_spese_compilazione[[#This Row],[Euro Lordo]],H39-tbl_spese_compilazione[[#This Row],[Euro Lordo]],0)</f>
        <v>0</v>
      </c>
      <c r="K39" s="113"/>
      <c r="L39" s="133" t="s">
        <v>235</v>
      </c>
      <c r="M39" s="74" t="s">
        <v>169</v>
      </c>
      <c r="N39" s="74" t="s">
        <v>157</v>
      </c>
    </row>
    <row r="40" spans="2:18" x14ac:dyDescent="0.3">
      <c r="B40" s="74">
        <v>65</v>
      </c>
      <c r="C40" s="103">
        <v>45931</v>
      </c>
      <c r="D40" s="104" t="s">
        <v>15</v>
      </c>
      <c r="E40" s="104" t="s">
        <v>35</v>
      </c>
      <c r="F40" s="171" t="s">
        <v>282</v>
      </c>
      <c r="G40" s="106">
        <v>60.2</v>
      </c>
      <c r="H40" s="113">
        <f>SUMIF(tbl_rimborsi_compilazione[SP_ID],tbl_spese_compilazione[[#This Row],[SP_ID]],tbl_rimborsi_compilazione[Euro])</f>
        <v>60</v>
      </c>
      <c r="I40" s="112">
        <f>IF(tbl_spese_compilazione[[#This Row],[Euro Lordo]]-tbl_spese_compilazione[[#This Row],[Rimborso tot]]&lt;0,0,tbl_spese_compilazione[[#This Row],[Euro Lordo]]-tbl_spese_compilazione[[#This Row],[Rimborso tot]])</f>
        <v>0.20000000000000284</v>
      </c>
      <c r="J40" s="113">
        <f>IF(tbl_spese_compilazione[[#This Row],[Rimborso tot]]&gt;tbl_spese_compilazione[[#This Row],[Euro Lordo]],H40-tbl_spese_compilazione[[#This Row],[Euro Lordo]],0)</f>
        <v>0</v>
      </c>
      <c r="K40" s="113"/>
      <c r="L40" s="105" t="s">
        <v>234</v>
      </c>
      <c r="M40" s="74" t="s">
        <v>169</v>
      </c>
      <c r="N40" s="74" t="s">
        <v>157</v>
      </c>
    </row>
    <row r="41" spans="2:18" x14ac:dyDescent="0.3">
      <c r="B41" s="74">
        <v>64</v>
      </c>
      <c r="C41" s="103">
        <v>45930</v>
      </c>
      <c r="D41" s="104" t="s">
        <v>14</v>
      </c>
      <c r="E41" s="104" t="s">
        <v>74</v>
      </c>
      <c r="F41" s="105" t="s">
        <v>86</v>
      </c>
      <c r="G41" s="106">
        <v>146</v>
      </c>
      <c r="H41" s="113">
        <f>SUMIF(tbl_rimborsi_compilazione[SP_ID],tbl_spese_compilazione[[#This Row],[SP_ID]],tbl_rimborsi_compilazione[Euro])</f>
        <v>73</v>
      </c>
      <c r="I41" s="112">
        <f>IF(tbl_spese_compilazione[[#This Row],[Euro Lordo]]-tbl_spese_compilazione[[#This Row],[Rimborso tot]]&lt;0,0,tbl_spese_compilazione[[#This Row],[Euro Lordo]]-tbl_spese_compilazione[[#This Row],[Rimborso tot]])</f>
        <v>73</v>
      </c>
      <c r="J41" s="113">
        <f>IF(tbl_spese_compilazione[[#This Row],[Rimborso tot]]&gt;tbl_spese_compilazione[[#This Row],[Euro Lordo]],H41-tbl_spese_compilazione[[#This Row],[Euro Lordo]],0)</f>
        <v>0</v>
      </c>
      <c r="K41" s="113"/>
      <c r="L41" s="105" t="s">
        <v>233</v>
      </c>
      <c r="M41" s="74" t="s">
        <v>169</v>
      </c>
      <c r="N41" s="74" t="s">
        <v>157</v>
      </c>
    </row>
    <row r="42" spans="2:18" x14ac:dyDescent="0.3">
      <c r="B42" s="74">
        <v>63</v>
      </c>
      <c r="C42" s="103">
        <v>45930</v>
      </c>
      <c r="D42" s="104" t="s">
        <v>14</v>
      </c>
      <c r="E42" s="104" t="s">
        <v>71</v>
      </c>
      <c r="F42" s="105" t="s">
        <v>76</v>
      </c>
      <c r="G42" s="106">
        <v>3.3</v>
      </c>
      <c r="H42" s="113">
        <f>SUMIF(tbl_rimborsi_compilazione[SP_ID],tbl_spese_compilazione[[#This Row],[SP_ID]],tbl_rimborsi_compilazione[Euro])</f>
        <v>0</v>
      </c>
      <c r="I42" s="112">
        <f>IF(tbl_spese_compilazione[[#This Row],[Euro Lordo]]-tbl_spese_compilazione[[#This Row],[Rimborso tot]]&lt;0,0,tbl_spese_compilazione[[#This Row],[Euro Lordo]]-tbl_spese_compilazione[[#This Row],[Rimborso tot]])</f>
        <v>3.3</v>
      </c>
      <c r="J42" s="113">
        <f>IF(tbl_spese_compilazione[[#This Row],[Rimborso tot]]&gt;tbl_spese_compilazione[[#This Row],[Euro Lordo]],H42-tbl_spese_compilazione[[#This Row],[Euro Lordo]],0)</f>
        <v>0</v>
      </c>
      <c r="K42" s="113"/>
      <c r="L42" s="105"/>
      <c r="M42" s="74" t="s">
        <v>169</v>
      </c>
      <c r="N42" s="74" t="s">
        <v>157</v>
      </c>
    </row>
    <row r="43" spans="2:18" x14ac:dyDescent="0.3">
      <c r="B43" s="74">
        <v>62</v>
      </c>
      <c r="C43" s="103">
        <v>45929</v>
      </c>
      <c r="D43" s="104" t="s">
        <v>14</v>
      </c>
      <c r="E43" s="104" t="s">
        <v>35</v>
      </c>
      <c r="F43" s="105" t="s">
        <v>53</v>
      </c>
      <c r="G43" s="106">
        <v>89.9</v>
      </c>
      <c r="H43" s="113">
        <f>SUMIF(tbl_rimborsi_compilazione[SP_ID],tbl_spese_compilazione[[#This Row],[SP_ID]],tbl_rimborsi_compilazione[Euro])</f>
        <v>0</v>
      </c>
      <c r="I43" s="112">
        <f>IF(tbl_spese_compilazione[[#This Row],[Euro Lordo]]-tbl_spese_compilazione[[#This Row],[Rimborso tot]]&lt;0,0,tbl_spese_compilazione[[#This Row],[Euro Lordo]]-tbl_spese_compilazione[[#This Row],[Rimborso tot]])</f>
        <v>89.9</v>
      </c>
      <c r="J43" s="113">
        <f>IF(tbl_spese_compilazione[[#This Row],[Rimborso tot]]&gt;tbl_spese_compilazione[[#This Row],[Euro Lordo]],H43-tbl_spese_compilazione[[#This Row],[Euro Lordo]],0)</f>
        <v>0</v>
      </c>
      <c r="K43" s="113"/>
      <c r="L43" s="105" t="s">
        <v>232</v>
      </c>
      <c r="M43" s="74" t="s">
        <v>169</v>
      </c>
      <c r="N43" s="74" t="s">
        <v>157</v>
      </c>
    </row>
    <row r="44" spans="2:18" x14ac:dyDescent="0.3">
      <c r="B44" s="74">
        <v>61</v>
      </c>
      <c r="C44" s="103">
        <v>45929</v>
      </c>
      <c r="D44" s="104" t="s">
        <v>14</v>
      </c>
      <c r="E44" s="104" t="s">
        <v>71</v>
      </c>
      <c r="F44" s="105" t="s">
        <v>231</v>
      </c>
      <c r="G44" s="106">
        <v>1.6</v>
      </c>
      <c r="H44" s="113">
        <f>SUMIF(tbl_rimborsi_compilazione[SP_ID],tbl_spese_compilazione[[#This Row],[SP_ID]],tbl_rimborsi_compilazione[Euro])</f>
        <v>0</v>
      </c>
      <c r="I44" s="112">
        <f>IF(tbl_spese_compilazione[[#This Row],[Euro Lordo]]-tbl_spese_compilazione[[#This Row],[Rimborso tot]]&lt;0,0,tbl_spese_compilazione[[#This Row],[Euro Lordo]]-tbl_spese_compilazione[[#This Row],[Rimborso tot]])</f>
        <v>1.6</v>
      </c>
      <c r="J44" s="113">
        <f>IF(tbl_spese_compilazione[[#This Row],[Rimborso tot]]&gt;tbl_spese_compilazione[[#This Row],[Euro Lordo]],H44-tbl_spese_compilazione[[#This Row],[Euro Lordo]],0)</f>
        <v>0</v>
      </c>
      <c r="K44" s="113"/>
      <c r="L44" s="105"/>
      <c r="M44" s="74" t="s">
        <v>169</v>
      </c>
      <c r="N44" s="74" t="s">
        <v>157</v>
      </c>
    </row>
    <row r="45" spans="2:18" x14ac:dyDescent="0.3">
      <c r="B45" s="74">
        <v>60</v>
      </c>
      <c r="C45" s="103">
        <v>45929</v>
      </c>
      <c r="D45" s="104" t="s">
        <v>14</v>
      </c>
      <c r="E45" s="104" t="s">
        <v>71</v>
      </c>
      <c r="F45" s="105" t="s">
        <v>231</v>
      </c>
      <c r="G45" s="106">
        <v>1</v>
      </c>
      <c r="H45" s="113">
        <f>SUMIF(tbl_rimborsi_compilazione[SP_ID],tbl_spese_compilazione[[#This Row],[SP_ID]],tbl_rimborsi_compilazione[Euro])</f>
        <v>0</v>
      </c>
      <c r="I45" s="112">
        <f>IF(tbl_spese_compilazione[[#This Row],[Euro Lordo]]-tbl_spese_compilazione[[#This Row],[Rimborso tot]]&lt;0,0,tbl_spese_compilazione[[#This Row],[Euro Lordo]]-tbl_spese_compilazione[[#This Row],[Rimborso tot]])</f>
        <v>1</v>
      </c>
      <c r="J45" s="113">
        <f>IF(tbl_spese_compilazione[[#This Row],[Rimborso tot]]&gt;tbl_spese_compilazione[[#This Row],[Euro Lordo]],H45-tbl_spese_compilazione[[#This Row],[Euro Lordo]],0)</f>
        <v>0</v>
      </c>
      <c r="K45" s="113"/>
      <c r="L45" s="105"/>
      <c r="M45" s="74" t="s">
        <v>169</v>
      </c>
      <c r="N45" s="74" t="s">
        <v>157</v>
      </c>
    </row>
    <row r="46" spans="2:18" x14ac:dyDescent="0.3">
      <c r="B46" s="74">
        <v>59</v>
      </c>
      <c r="C46" s="103">
        <v>45929</v>
      </c>
      <c r="D46" s="104" t="s">
        <v>14</v>
      </c>
      <c r="E46" s="108" t="s">
        <v>246</v>
      </c>
      <c r="F46" s="109" t="s">
        <v>248</v>
      </c>
      <c r="G46" s="106">
        <v>10</v>
      </c>
      <c r="H46" s="113">
        <f>SUMIF(tbl_rimborsi_compilazione[SP_ID],tbl_spese_compilazione[[#This Row],[SP_ID]],tbl_rimborsi_compilazione[Euro])</f>
        <v>10</v>
      </c>
      <c r="I46" s="112">
        <f>IF(tbl_spese_compilazione[[#This Row],[Euro Lordo]]-tbl_spese_compilazione[[#This Row],[Rimborso tot]]&lt;0,0,tbl_spese_compilazione[[#This Row],[Euro Lordo]]-tbl_spese_compilazione[[#This Row],[Rimborso tot]])</f>
        <v>0</v>
      </c>
      <c r="J46" s="113">
        <f>IF(tbl_spese_compilazione[[#This Row],[Rimborso tot]]&gt;tbl_spese_compilazione[[#This Row],[Euro Lordo]],H46-tbl_spese_compilazione[[#This Row],[Euro Lordo]],0)</f>
        <v>0</v>
      </c>
      <c r="K46" s="113"/>
      <c r="L46" s="124" t="s">
        <v>214</v>
      </c>
      <c r="M46" s="74" t="s">
        <v>169</v>
      </c>
      <c r="N46" s="74" t="s">
        <v>157</v>
      </c>
    </row>
    <row r="47" spans="2:18" x14ac:dyDescent="0.3">
      <c r="B47" s="74">
        <v>58</v>
      </c>
      <c r="C47" s="98">
        <v>45928</v>
      </c>
      <c r="D47" s="99" t="s">
        <v>14</v>
      </c>
      <c r="E47" s="99" t="s">
        <v>74</v>
      </c>
      <c r="F47" s="100" t="s">
        <v>80</v>
      </c>
      <c r="G47" s="101">
        <v>11.1</v>
      </c>
      <c r="H47" s="113">
        <f>SUMIF(tbl_rimborsi_compilazione[SP_ID],tbl_spese_compilazione[[#This Row],[SP_ID]],tbl_rimborsi_compilazione[Euro])</f>
        <v>0</v>
      </c>
      <c r="I47" s="112">
        <f>IF(tbl_spese_compilazione[[#This Row],[Euro Lordo]]-tbl_spese_compilazione[[#This Row],[Rimborso tot]]&lt;0,0,tbl_spese_compilazione[[#This Row],[Euro Lordo]]-tbl_spese_compilazione[[#This Row],[Rimborso tot]])</f>
        <v>11.1</v>
      </c>
      <c r="J47" s="113">
        <f>IF(tbl_spese_compilazione[[#This Row],[Rimborso tot]]&gt;tbl_spese_compilazione[[#This Row],[Euro Lordo]],H47-tbl_spese_compilazione[[#This Row],[Euro Lordo]],0)</f>
        <v>0</v>
      </c>
      <c r="K47" s="113"/>
      <c r="L47" s="102" t="s">
        <v>230</v>
      </c>
      <c r="M47" s="74" t="s">
        <v>251</v>
      </c>
      <c r="N47" s="74" t="s">
        <v>157</v>
      </c>
    </row>
    <row r="48" spans="2:18" x14ac:dyDescent="0.3">
      <c r="B48" s="74">
        <v>57</v>
      </c>
      <c r="C48" s="98">
        <v>45928</v>
      </c>
      <c r="D48" s="99" t="s">
        <v>14</v>
      </c>
      <c r="E48" s="99" t="s">
        <v>64</v>
      </c>
      <c r="F48" s="100" t="s">
        <v>96</v>
      </c>
      <c r="G48" s="101">
        <v>1</v>
      </c>
      <c r="H48" s="113">
        <f>SUMIF(tbl_rimborsi_compilazione[SP_ID],tbl_spese_compilazione[[#This Row],[SP_ID]],tbl_rimborsi_compilazione[Euro])</f>
        <v>0</v>
      </c>
      <c r="I48" s="112">
        <f>IF(tbl_spese_compilazione[[#This Row],[Euro Lordo]]-tbl_spese_compilazione[[#This Row],[Rimborso tot]]&lt;0,0,tbl_spese_compilazione[[#This Row],[Euro Lordo]]-tbl_spese_compilazione[[#This Row],[Rimborso tot]])</f>
        <v>1</v>
      </c>
      <c r="J48" s="113">
        <f>IF(tbl_spese_compilazione[[#This Row],[Rimborso tot]]&gt;tbl_spese_compilazione[[#This Row],[Euro Lordo]],H48-tbl_spese_compilazione[[#This Row],[Euro Lordo]],0)</f>
        <v>0</v>
      </c>
      <c r="K48" s="113"/>
      <c r="L48" s="100"/>
      <c r="M48" s="74" t="s">
        <v>168</v>
      </c>
      <c r="N48" s="74" t="s">
        <v>157</v>
      </c>
    </row>
    <row r="49" spans="2:14" x14ac:dyDescent="0.3">
      <c r="B49" s="74">
        <v>56</v>
      </c>
      <c r="C49" s="98">
        <v>45928</v>
      </c>
      <c r="D49" s="99" t="s">
        <v>14</v>
      </c>
      <c r="E49" s="99" t="s">
        <v>74</v>
      </c>
      <c r="F49" s="100" t="s">
        <v>49</v>
      </c>
      <c r="G49" s="101">
        <v>10</v>
      </c>
      <c r="H49" s="113">
        <f>SUMIF(tbl_rimborsi_compilazione[SP_ID],tbl_spese_compilazione[[#This Row],[SP_ID]],tbl_rimborsi_compilazione[Euro])</f>
        <v>10</v>
      </c>
      <c r="I49" s="112">
        <f>IF(tbl_spese_compilazione[[#This Row],[Euro Lordo]]-tbl_spese_compilazione[[#This Row],[Rimborso tot]]&lt;0,0,tbl_spese_compilazione[[#This Row],[Euro Lordo]]-tbl_spese_compilazione[[#This Row],[Rimborso tot]])</f>
        <v>0</v>
      </c>
      <c r="J49" s="113">
        <f>IF(tbl_spese_compilazione[[#This Row],[Rimborso tot]]&gt;tbl_spese_compilazione[[#This Row],[Euro Lordo]],H49-tbl_spese_compilazione[[#This Row],[Euro Lordo]],0)</f>
        <v>0</v>
      </c>
      <c r="K49" s="113"/>
      <c r="L49" s="100" t="s">
        <v>229</v>
      </c>
      <c r="M49" s="74" t="s">
        <v>167</v>
      </c>
      <c r="N49" s="74" t="s">
        <v>157</v>
      </c>
    </row>
    <row r="50" spans="2:14" x14ac:dyDescent="0.3">
      <c r="B50" s="74">
        <v>55</v>
      </c>
      <c r="C50" s="98">
        <v>45928</v>
      </c>
      <c r="D50" s="99" t="s">
        <v>14</v>
      </c>
      <c r="E50" s="99" t="s">
        <v>74</v>
      </c>
      <c r="F50" s="100" t="s">
        <v>85</v>
      </c>
      <c r="G50" s="101">
        <v>80</v>
      </c>
      <c r="H50" s="113">
        <f>SUMIF(tbl_rimborsi_compilazione[SP_ID],tbl_spese_compilazione[[#This Row],[SP_ID]],tbl_rimborsi_compilazione[Euro])</f>
        <v>60</v>
      </c>
      <c r="I50" s="112">
        <f>IF(tbl_spese_compilazione[[#This Row],[Euro Lordo]]-tbl_spese_compilazione[[#This Row],[Rimborso tot]]&lt;0,0,tbl_spese_compilazione[[#This Row],[Euro Lordo]]-tbl_spese_compilazione[[#This Row],[Rimborso tot]])</f>
        <v>20</v>
      </c>
      <c r="J50" s="113">
        <f>IF(tbl_spese_compilazione[[#This Row],[Rimborso tot]]&gt;tbl_spese_compilazione[[#This Row],[Euro Lordo]],H50-tbl_spese_compilazione[[#This Row],[Euro Lordo]],0)</f>
        <v>0</v>
      </c>
      <c r="K50" s="113"/>
      <c r="L50" s="100" t="s">
        <v>228</v>
      </c>
      <c r="M50" s="74" t="s">
        <v>167</v>
      </c>
      <c r="N50" s="74" t="s">
        <v>157</v>
      </c>
    </row>
    <row r="51" spans="2:14" x14ac:dyDescent="0.3">
      <c r="B51" s="74">
        <v>54</v>
      </c>
      <c r="C51" s="98">
        <v>45927</v>
      </c>
      <c r="D51" s="99" t="s">
        <v>14</v>
      </c>
      <c r="E51" s="99" t="s">
        <v>74</v>
      </c>
      <c r="F51" s="100" t="s">
        <v>85</v>
      </c>
      <c r="G51" s="101">
        <v>35</v>
      </c>
      <c r="H51" s="113">
        <f>SUMIF(tbl_rimborsi_compilazione[SP_ID],tbl_spese_compilazione[[#This Row],[SP_ID]],tbl_rimborsi_compilazione[Euro])</f>
        <v>20</v>
      </c>
      <c r="I51" s="112">
        <f>IF(tbl_spese_compilazione[[#This Row],[Euro Lordo]]-tbl_spese_compilazione[[#This Row],[Rimborso tot]]&lt;0,0,tbl_spese_compilazione[[#This Row],[Euro Lordo]]-tbl_spese_compilazione[[#This Row],[Rimborso tot]])</f>
        <v>15</v>
      </c>
      <c r="J51" s="113">
        <f>IF(tbl_spese_compilazione[[#This Row],[Rimborso tot]]&gt;tbl_spese_compilazione[[#This Row],[Euro Lordo]],H51-tbl_spese_compilazione[[#This Row],[Euro Lordo]],0)</f>
        <v>0</v>
      </c>
      <c r="K51" s="113"/>
      <c r="L51" s="100" t="s">
        <v>227</v>
      </c>
      <c r="M51" s="74" t="s">
        <v>167</v>
      </c>
      <c r="N51" s="74" t="s">
        <v>157</v>
      </c>
    </row>
    <row r="52" spans="2:14" x14ac:dyDescent="0.3">
      <c r="B52" s="74">
        <v>53</v>
      </c>
      <c r="C52" s="98">
        <v>45925</v>
      </c>
      <c r="D52" s="99" t="s">
        <v>14</v>
      </c>
      <c r="E52" s="108" t="s">
        <v>246</v>
      </c>
      <c r="F52" s="109" t="s">
        <v>248</v>
      </c>
      <c r="G52" s="101">
        <v>27.2</v>
      </c>
      <c r="H52" s="113">
        <f>SUMIF(tbl_rimborsi_compilazione[SP_ID],tbl_spese_compilazione[[#This Row],[SP_ID]],tbl_rimborsi_compilazione[Euro])</f>
        <v>27.2</v>
      </c>
      <c r="I52" s="112">
        <f>IF(tbl_spese_compilazione[[#This Row],[Euro Lordo]]-tbl_spese_compilazione[[#This Row],[Rimborso tot]]&lt;0,0,tbl_spese_compilazione[[#This Row],[Euro Lordo]]-tbl_spese_compilazione[[#This Row],[Rimborso tot]])</f>
        <v>0</v>
      </c>
      <c r="J52" s="113">
        <f>IF(tbl_spese_compilazione[[#This Row],[Rimborso tot]]&gt;tbl_spese_compilazione[[#This Row],[Euro Lordo]],H52-tbl_spese_compilazione[[#This Row],[Euro Lordo]],0)</f>
        <v>0</v>
      </c>
      <c r="K52" s="113"/>
      <c r="L52" s="124" t="s">
        <v>214</v>
      </c>
      <c r="M52" s="74" t="s">
        <v>169</v>
      </c>
      <c r="N52" s="74" t="s">
        <v>157</v>
      </c>
    </row>
    <row r="53" spans="2:14" x14ac:dyDescent="0.3">
      <c r="B53" s="74">
        <v>52</v>
      </c>
      <c r="C53" s="98">
        <v>45924</v>
      </c>
      <c r="D53" s="99" t="s">
        <v>14</v>
      </c>
      <c r="E53" s="108" t="s">
        <v>246</v>
      </c>
      <c r="F53" s="109" t="s">
        <v>248</v>
      </c>
      <c r="G53" s="101">
        <v>11</v>
      </c>
      <c r="H53" s="113">
        <f>SUMIF(tbl_rimborsi_compilazione[SP_ID],tbl_spese_compilazione[[#This Row],[SP_ID]],tbl_rimborsi_compilazione[Euro])</f>
        <v>11</v>
      </c>
      <c r="I53" s="112">
        <f>IF(tbl_spese_compilazione[[#This Row],[Euro Lordo]]-tbl_spese_compilazione[[#This Row],[Rimborso tot]]&lt;0,0,tbl_spese_compilazione[[#This Row],[Euro Lordo]]-tbl_spese_compilazione[[#This Row],[Rimborso tot]])</f>
        <v>0</v>
      </c>
      <c r="J53" s="113">
        <f>IF(tbl_spese_compilazione[[#This Row],[Rimborso tot]]&gt;tbl_spese_compilazione[[#This Row],[Euro Lordo]],H53-tbl_spese_compilazione[[#This Row],[Euro Lordo]],0)</f>
        <v>0</v>
      </c>
      <c r="K53" s="113"/>
      <c r="L53" s="124" t="s">
        <v>214</v>
      </c>
      <c r="M53" s="74" t="s">
        <v>169</v>
      </c>
      <c r="N53" s="74" t="s">
        <v>157</v>
      </c>
    </row>
    <row r="54" spans="2:14" x14ac:dyDescent="0.3">
      <c r="B54" s="74">
        <v>51</v>
      </c>
      <c r="C54" s="98">
        <v>45924</v>
      </c>
      <c r="D54" s="99" t="s">
        <v>14</v>
      </c>
      <c r="E54" s="99" t="s">
        <v>74</v>
      </c>
      <c r="F54" s="100" t="s">
        <v>80</v>
      </c>
      <c r="G54" s="101">
        <v>5</v>
      </c>
      <c r="H54" s="113">
        <f>SUMIF(tbl_rimborsi_compilazione[SP_ID],tbl_spese_compilazione[[#This Row],[SP_ID]],tbl_rimborsi_compilazione[Euro])</f>
        <v>0</v>
      </c>
      <c r="I54" s="112">
        <f>IF(tbl_spese_compilazione[[#This Row],[Euro Lordo]]-tbl_spese_compilazione[[#This Row],[Rimborso tot]]&lt;0,0,tbl_spese_compilazione[[#This Row],[Euro Lordo]]-tbl_spese_compilazione[[#This Row],[Rimborso tot]])</f>
        <v>5</v>
      </c>
      <c r="J54" s="113">
        <f>IF(tbl_spese_compilazione[[#This Row],[Rimborso tot]]&gt;tbl_spese_compilazione[[#This Row],[Euro Lordo]],H54-tbl_spese_compilazione[[#This Row],[Euro Lordo]],0)</f>
        <v>0</v>
      </c>
      <c r="K54" s="113"/>
      <c r="L54" s="100" t="s">
        <v>191</v>
      </c>
      <c r="M54" s="74" t="s">
        <v>167</v>
      </c>
      <c r="N54" s="74" t="s">
        <v>157</v>
      </c>
    </row>
    <row r="55" spans="2:14" x14ac:dyDescent="0.3">
      <c r="B55" s="74">
        <v>50</v>
      </c>
      <c r="C55" s="98">
        <v>45923</v>
      </c>
      <c r="D55" s="99" t="s">
        <v>14</v>
      </c>
      <c r="E55" s="99" t="s">
        <v>35</v>
      </c>
      <c r="F55" s="100" t="s">
        <v>53</v>
      </c>
      <c r="G55" s="101">
        <v>60.28</v>
      </c>
      <c r="H55" s="113">
        <f>SUMIF(tbl_rimborsi_compilazione[SP_ID],tbl_spese_compilazione[[#This Row],[SP_ID]],tbl_rimborsi_compilazione[Euro])</f>
        <v>0</v>
      </c>
      <c r="I55" s="112">
        <f>IF(tbl_spese_compilazione[[#This Row],[Euro Lordo]]-tbl_spese_compilazione[[#This Row],[Rimborso tot]]&lt;0,0,tbl_spese_compilazione[[#This Row],[Euro Lordo]]-tbl_spese_compilazione[[#This Row],[Rimborso tot]])</f>
        <v>60.28</v>
      </c>
      <c r="J55" s="113">
        <f>IF(tbl_spese_compilazione[[#This Row],[Rimborso tot]]&gt;tbl_spese_compilazione[[#This Row],[Euro Lordo]],H55-tbl_spese_compilazione[[#This Row],[Euro Lordo]],0)</f>
        <v>0</v>
      </c>
      <c r="K55" s="113"/>
      <c r="L55" s="100" t="s">
        <v>225</v>
      </c>
      <c r="M55" s="74" t="s">
        <v>169</v>
      </c>
      <c r="N55" s="74" t="s">
        <v>157</v>
      </c>
    </row>
    <row r="56" spans="2:14" x14ac:dyDescent="0.3">
      <c r="B56" s="74">
        <v>49</v>
      </c>
      <c r="C56" s="94">
        <v>45922</v>
      </c>
      <c r="D56" s="95" t="s">
        <v>14</v>
      </c>
      <c r="E56" s="95" t="s">
        <v>74</v>
      </c>
      <c r="F56" s="96" t="s">
        <v>86</v>
      </c>
      <c r="G56" s="97">
        <v>63.75</v>
      </c>
      <c r="H56" s="113">
        <f>SUMIF(tbl_rimborsi_compilazione[SP_ID],tbl_spese_compilazione[[#This Row],[SP_ID]],tbl_rimborsi_compilazione[Euro])</f>
        <v>0</v>
      </c>
      <c r="I56" s="112">
        <f>IF(tbl_spese_compilazione[[#This Row],[Euro Lordo]]-tbl_spese_compilazione[[#This Row],[Rimborso tot]]&lt;0,0,tbl_spese_compilazione[[#This Row],[Euro Lordo]]-tbl_spese_compilazione[[#This Row],[Rimborso tot]])</f>
        <v>63.75</v>
      </c>
      <c r="J56" s="113">
        <f>IF(tbl_spese_compilazione[[#This Row],[Rimborso tot]]&gt;tbl_spese_compilazione[[#This Row],[Euro Lordo]],H56-tbl_spese_compilazione[[#This Row],[Euro Lordo]],0)</f>
        <v>0</v>
      </c>
      <c r="K56" s="113"/>
      <c r="L56" s="100" t="s">
        <v>226</v>
      </c>
      <c r="M56" s="74" t="s">
        <v>167</v>
      </c>
      <c r="N56" s="74" t="s">
        <v>157</v>
      </c>
    </row>
    <row r="57" spans="2:14" x14ac:dyDescent="0.3">
      <c r="B57" s="74">
        <v>48</v>
      </c>
      <c r="C57" s="94">
        <v>45922</v>
      </c>
      <c r="D57" s="95" t="s">
        <v>14</v>
      </c>
      <c r="E57" s="95" t="s">
        <v>74</v>
      </c>
      <c r="F57" s="96" t="s">
        <v>86</v>
      </c>
      <c r="G57" s="97">
        <v>736.46</v>
      </c>
      <c r="H57" s="113">
        <f>SUMIF(tbl_rimborsi_compilazione[SP_ID],tbl_spese_compilazione[[#This Row],[SP_ID]],tbl_rimborsi_compilazione[Euro])</f>
        <v>830</v>
      </c>
      <c r="I57" s="112">
        <f>IF(tbl_spese_compilazione[[#This Row],[Euro Lordo]]-tbl_spese_compilazione[[#This Row],[Rimborso tot]]&lt;0,0,tbl_spese_compilazione[[#This Row],[Euro Lordo]]-tbl_spese_compilazione[[#This Row],[Rimborso tot]])</f>
        <v>0</v>
      </c>
      <c r="J57" s="113">
        <f>IF(tbl_spese_compilazione[[#This Row],[Rimborso tot]]&gt;tbl_spese_compilazione[[#This Row],[Euro Lordo]],H57-tbl_spese_compilazione[[#This Row],[Euro Lordo]],0)</f>
        <v>93.539999999999964</v>
      </c>
      <c r="K57" s="113"/>
      <c r="L57" s="171" t="s">
        <v>285</v>
      </c>
      <c r="M57" s="74" t="s">
        <v>169</v>
      </c>
      <c r="N57" s="74" t="s">
        <v>157</v>
      </c>
    </row>
    <row r="58" spans="2:14" x14ac:dyDescent="0.3">
      <c r="B58" s="74">
        <v>47</v>
      </c>
      <c r="C58" s="94">
        <v>45923</v>
      </c>
      <c r="D58" s="95" t="s">
        <v>14</v>
      </c>
      <c r="E58" s="108" t="s">
        <v>246</v>
      </c>
      <c r="F58" s="109" t="s">
        <v>248</v>
      </c>
      <c r="G58" s="97">
        <v>10</v>
      </c>
      <c r="H58" s="113">
        <f>SUMIF(tbl_rimborsi_compilazione[SP_ID],tbl_spese_compilazione[[#This Row],[SP_ID]],tbl_rimborsi_compilazione[Euro])</f>
        <v>10</v>
      </c>
      <c r="I58" s="112">
        <f>IF(tbl_spese_compilazione[[#This Row],[Euro Lordo]]-tbl_spese_compilazione[[#This Row],[Rimborso tot]]&lt;0,0,tbl_spese_compilazione[[#This Row],[Euro Lordo]]-tbl_spese_compilazione[[#This Row],[Rimborso tot]])</f>
        <v>0</v>
      </c>
      <c r="J58" s="113">
        <f>IF(tbl_spese_compilazione[[#This Row],[Rimborso tot]]&gt;tbl_spese_compilazione[[#This Row],[Euro Lordo]],H58-tbl_spese_compilazione[[#This Row],[Euro Lordo]],0)</f>
        <v>0</v>
      </c>
      <c r="K58" s="113"/>
      <c r="L58" s="124" t="s">
        <v>214</v>
      </c>
      <c r="M58" s="74" t="s">
        <v>169</v>
      </c>
      <c r="N58" s="74" t="s">
        <v>157</v>
      </c>
    </row>
    <row r="59" spans="2:14" x14ac:dyDescent="0.3">
      <c r="B59" s="74">
        <v>46</v>
      </c>
      <c r="C59" s="94">
        <v>45922</v>
      </c>
      <c r="D59" s="95" t="s">
        <v>14</v>
      </c>
      <c r="E59" s="95" t="s">
        <v>74</v>
      </c>
      <c r="F59" s="96" t="s">
        <v>80</v>
      </c>
      <c r="G59" s="97">
        <v>8.5</v>
      </c>
      <c r="H59" s="113">
        <f>SUMIF(tbl_rimborsi_compilazione[SP_ID],tbl_spese_compilazione[[#This Row],[SP_ID]],tbl_rimborsi_compilazione[Euro])</f>
        <v>0</v>
      </c>
      <c r="I59" s="112">
        <f>IF(tbl_spese_compilazione[[#This Row],[Euro Lordo]]-tbl_spese_compilazione[[#This Row],[Rimborso tot]]&lt;0,0,tbl_spese_compilazione[[#This Row],[Euro Lordo]]-tbl_spese_compilazione[[#This Row],[Rimborso tot]])</f>
        <v>8.5</v>
      </c>
      <c r="J59" s="113">
        <f>IF(tbl_spese_compilazione[[#This Row],[Rimborso tot]]&gt;tbl_spese_compilazione[[#This Row],[Euro Lordo]],H59-tbl_spese_compilazione[[#This Row],[Euro Lordo]],0)</f>
        <v>0</v>
      </c>
      <c r="K59" s="113"/>
      <c r="L59" s="96" t="s">
        <v>191</v>
      </c>
      <c r="M59" s="74" t="s">
        <v>169</v>
      </c>
      <c r="N59" s="74" t="s">
        <v>157</v>
      </c>
    </row>
    <row r="60" spans="2:14" x14ac:dyDescent="0.3">
      <c r="B60" s="74">
        <v>45</v>
      </c>
      <c r="C60" s="94">
        <v>45921</v>
      </c>
      <c r="D60" s="95" t="s">
        <v>14</v>
      </c>
      <c r="E60" s="95" t="s">
        <v>74</v>
      </c>
      <c r="F60" s="96" t="s">
        <v>86</v>
      </c>
      <c r="G60" s="97">
        <v>91</v>
      </c>
      <c r="H60" s="113">
        <f>SUMIF(tbl_rimborsi_compilazione[SP_ID],tbl_spese_compilazione[[#This Row],[SP_ID]],tbl_rimborsi_compilazione[Euro])</f>
        <v>45.5</v>
      </c>
      <c r="I60" s="112">
        <f>IF(tbl_spese_compilazione[[#This Row],[Euro Lordo]]-tbl_spese_compilazione[[#This Row],[Rimborso tot]]&lt;0,0,tbl_spese_compilazione[[#This Row],[Euro Lordo]]-tbl_spese_compilazione[[#This Row],[Rimborso tot]])</f>
        <v>45.5</v>
      </c>
      <c r="J60" s="113">
        <f>IF(tbl_spese_compilazione[[#This Row],[Rimborso tot]]&gt;tbl_spese_compilazione[[#This Row],[Euro Lordo]],H60-tbl_spese_compilazione[[#This Row],[Euro Lordo]],0)</f>
        <v>0</v>
      </c>
      <c r="K60" s="113"/>
      <c r="L60" s="96" t="s">
        <v>214</v>
      </c>
      <c r="M60" s="74" t="s">
        <v>169</v>
      </c>
      <c r="N60" s="74" t="s">
        <v>157</v>
      </c>
    </row>
    <row r="61" spans="2:14" x14ac:dyDescent="0.3">
      <c r="B61" s="74">
        <v>44</v>
      </c>
      <c r="C61" s="94">
        <v>45920</v>
      </c>
      <c r="D61" s="95" t="s">
        <v>14</v>
      </c>
      <c r="E61" s="95" t="s">
        <v>74</v>
      </c>
      <c r="F61" s="133" t="s">
        <v>86</v>
      </c>
      <c r="G61" s="97">
        <v>11.95</v>
      </c>
      <c r="H61" s="113">
        <f>SUMIF(tbl_rimborsi_compilazione[SP_ID],tbl_spese_compilazione[[#This Row],[SP_ID]],tbl_rimborsi_compilazione[Euro])</f>
        <v>0</v>
      </c>
      <c r="I61" s="112">
        <f>IF(tbl_spese_compilazione[[#This Row],[Euro Lordo]]-tbl_spese_compilazione[[#This Row],[Rimborso tot]]&lt;0,0,tbl_spese_compilazione[[#This Row],[Euro Lordo]]-tbl_spese_compilazione[[#This Row],[Rimborso tot]])</f>
        <v>11.95</v>
      </c>
      <c r="J61" s="113">
        <f>IF(tbl_spese_compilazione[[#This Row],[Rimborso tot]]&gt;tbl_spese_compilazione[[#This Row],[Euro Lordo]],H61-tbl_spese_compilazione[[#This Row],[Euro Lordo]],0)</f>
        <v>0</v>
      </c>
      <c r="K61" s="113"/>
      <c r="L61" s="96" t="s">
        <v>200</v>
      </c>
      <c r="M61" s="74" t="s">
        <v>169</v>
      </c>
      <c r="N61" s="74" t="s">
        <v>157</v>
      </c>
    </row>
    <row r="62" spans="2:14" x14ac:dyDescent="0.3">
      <c r="B62" s="74">
        <v>43</v>
      </c>
      <c r="C62" s="94">
        <v>45920</v>
      </c>
      <c r="D62" s="95" t="s">
        <v>14</v>
      </c>
      <c r="E62" s="95" t="s">
        <v>74</v>
      </c>
      <c r="F62" s="96" t="s">
        <v>86</v>
      </c>
      <c r="G62" s="97">
        <v>5.96</v>
      </c>
      <c r="H62" s="113">
        <f>SUMIF(tbl_rimborsi_compilazione[SP_ID],tbl_spese_compilazione[[#This Row],[SP_ID]],tbl_rimborsi_compilazione[Euro])</f>
        <v>2.98</v>
      </c>
      <c r="I62" s="112">
        <f>IF(tbl_spese_compilazione[[#This Row],[Euro Lordo]]-tbl_spese_compilazione[[#This Row],[Rimborso tot]]&lt;0,0,tbl_spese_compilazione[[#This Row],[Euro Lordo]]-tbl_spese_compilazione[[#This Row],[Rimborso tot]])</f>
        <v>2.98</v>
      </c>
      <c r="J62" s="113">
        <f>IF(tbl_spese_compilazione[[#This Row],[Rimborso tot]]&gt;tbl_spese_compilazione[[#This Row],[Euro Lordo]],H62-tbl_spese_compilazione[[#This Row],[Euro Lordo]],0)</f>
        <v>0</v>
      </c>
      <c r="K62" s="113"/>
      <c r="L62" s="96" t="s">
        <v>213</v>
      </c>
      <c r="M62" s="74" t="s">
        <v>169</v>
      </c>
      <c r="N62" s="74" t="s">
        <v>157</v>
      </c>
    </row>
    <row r="63" spans="2:14" x14ac:dyDescent="0.3">
      <c r="B63" s="74">
        <v>42</v>
      </c>
      <c r="C63" s="94">
        <v>45920</v>
      </c>
      <c r="D63" s="95" t="s">
        <v>14</v>
      </c>
      <c r="E63" s="95" t="s">
        <v>74</v>
      </c>
      <c r="F63" s="96" t="s">
        <v>86</v>
      </c>
      <c r="G63" s="97">
        <v>15</v>
      </c>
      <c r="H63" s="113">
        <f>SUMIF(tbl_rimborsi_compilazione[SP_ID],tbl_spese_compilazione[[#This Row],[SP_ID]],tbl_rimborsi_compilazione[Euro])</f>
        <v>7.5</v>
      </c>
      <c r="I63" s="112">
        <f>IF(tbl_spese_compilazione[[#This Row],[Euro Lordo]]-tbl_spese_compilazione[[#This Row],[Rimborso tot]]&lt;0,0,tbl_spese_compilazione[[#This Row],[Euro Lordo]]-tbl_spese_compilazione[[#This Row],[Rimborso tot]])</f>
        <v>7.5</v>
      </c>
      <c r="J63" s="113">
        <f>IF(tbl_spese_compilazione[[#This Row],[Rimborso tot]]&gt;tbl_spese_compilazione[[#This Row],[Euro Lordo]],H63-tbl_spese_compilazione[[#This Row],[Euro Lordo]],0)</f>
        <v>0</v>
      </c>
      <c r="K63" s="113"/>
      <c r="L63" s="96" t="s">
        <v>212</v>
      </c>
      <c r="M63" s="74" t="s">
        <v>169</v>
      </c>
      <c r="N63" s="74" t="s">
        <v>157</v>
      </c>
    </row>
    <row r="64" spans="2:14" x14ac:dyDescent="0.3">
      <c r="B64" s="74">
        <v>41</v>
      </c>
      <c r="C64" s="94">
        <v>45920</v>
      </c>
      <c r="D64" s="95" t="s">
        <v>14</v>
      </c>
      <c r="E64" s="95" t="s">
        <v>74</v>
      </c>
      <c r="F64" s="96" t="s">
        <v>86</v>
      </c>
      <c r="G64" s="97">
        <v>35</v>
      </c>
      <c r="H64" s="113">
        <f>SUMIF(tbl_rimborsi_compilazione[SP_ID],tbl_spese_compilazione[[#This Row],[SP_ID]],tbl_rimborsi_compilazione[Euro])</f>
        <v>17.5</v>
      </c>
      <c r="I64" s="112">
        <f>IF(tbl_spese_compilazione[[#This Row],[Euro Lordo]]-tbl_spese_compilazione[[#This Row],[Rimborso tot]]&lt;0,0,tbl_spese_compilazione[[#This Row],[Euro Lordo]]-tbl_spese_compilazione[[#This Row],[Rimborso tot]])</f>
        <v>17.5</v>
      </c>
      <c r="J64" s="113">
        <f>IF(tbl_spese_compilazione[[#This Row],[Rimborso tot]]&gt;tbl_spese_compilazione[[#This Row],[Euro Lordo]],H64-tbl_spese_compilazione[[#This Row],[Euro Lordo]],0)</f>
        <v>0</v>
      </c>
      <c r="K64" s="113"/>
      <c r="L64" s="96" t="s">
        <v>211</v>
      </c>
      <c r="M64" s="74" t="s">
        <v>169</v>
      </c>
      <c r="N64" s="74" t="s">
        <v>157</v>
      </c>
    </row>
    <row r="65" spans="2:14" x14ac:dyDescent="0.3">
      <c r="B65" s="74">
        <v>40</v>
      </c>
      <c r="C65" s="94">
        <v>37518</v>
      </c>
      <c r="D65" s="95" t="s">
        <v>14</v>
      </c>
      <c r="E65" s="95" t="s">
        <v>74</v>
      </c>
      <c r="F65" s="96" t="s">
        <v>86</v>
      </c>
      <c r="G65" s="97">
        <v>110.51</v>
      </c>
      <c r="H65" s="113">
        <f>SUMIF(tbl_rimborsi_compilazione[SP_ID],tbl_spese_compilazione[[#This Row],[SP_ID]],tbl_rimborsi_compilazione[Euro])</f>
        <v>55.26</v>
      </c>
      <c r="I65" s="112">
        <f>IF(tbl_spese_compilazione[[#This Row],[Euro Lordo]]-tbl_spese_compilazione[[#This Row],[Rimborso tot]]&lt;0,0,tbl_spese_compilazione[[#This Row],[Euro Lordo]]-tbl_spese_compilazione[[#This Row],[Rimborso tot]])</f>
        <v>55.250000000000007</v>
      </c>
      <c r="J65" s="113">
        <f>IF(tbl_spese_compilazione[[#This Row],[Rimborso tot]]&gt;tbl_spese_compilazione[[#This Row],[Euro Lordo]],H65-tbl_spese_compilazione[[#This Row],[Euro Lordo]],0)</f>
        <v>0</v>
      </c>
      <c r="K65" s="113"/>
      <c r="L65" s="96" t="s">
        <v>210</v>
      </c>
      <c r="M65" s="74" t="s">
        <v>169</v>
      </c>
      <c r="N65" s="74" t="s">
        <v>157</v>
      </c>
    </row>
    <row r="66" spans="2:14" x14ac:dyDescent="0.3">
      <c r="B66" s="74">
        <v>39</v>
      </c>
      <c r="C66" s="94">
        <v>37518</v>
      </c>
      <c r="D66" s="95" t="s">
        <v>14</v>
      </c>
      <c r="E66" s="95" t="s">
        <v>74</v>
      </c>
      <c r="F66" s="96" t="s">
        <v>85</v>
      </c>
      <c r="G66" s="97">
        <v>17.3</v>
      </c>
      <c r="H66" s="113">
        <f>SUMIF(tbl_rimborsi_compilazione[SP_ID],tbl_spese_compilazione[[#This Row],[SP_ID]],tbl_rimborsi_compilazione[Euro])</f>
        <v>10</v>
      </c>
      <c r="I66" s="112">
        <f>IF(tbl_spese_compilazione[[#This Row],[Euro Lordo]]-tbl_spese_compilazione[[#This Row],[Rimborso tot]]&lt;0,0,tbl_spese_compilazione[[#This Row],[Euro Lordo]]-tbl_spese_compilazione[[#This Row],[Rimborso tot]])</f>
        <v>7.3000000000000007</v>
      </c>
      <c r="J66" s="113">
        <f>IF(tbl_spese_compilazione[[#This Row],[Rimborso tot]]&gt;tbl_spese_compilazione[[#This Row],[Euro Lordo]],H66-tbl_spese_compilazione[[#This Row],[Euro Lordo]],0)</f>
        <v>0</v>
      </c>
      <c r="K66" s="113"/>
      <c r="L66" s="96" t="s">
        <v>200</v>
      </c>
      <c r="M66" s="74" t="s">
        <v>169</v>
      </c>
      <c r="N66" s="74" t="s">
        <v>157</v>
      </c>
    </row>
    <row r="67" spans="2:14" x14ac:dyDescent="0.3">
      <c r="B67" s="74">
        <v>38</v>
      </c>
      <c r="C67" s="15">
        <v>45917</v>
      </c>
      <c r="D67" s="3" t="s">
        <v>14</v>
      </c>
      <c r="E67" s="163" t="s">
        <v>74</v>
      </c>
      <c r="F67" s="164" t="s">
        <v>84</v>
      </c>
      <c r="G67" s="36">
        <v>3.5</v>
      </c>
      <c r="H67" s="113">
        <f>SUMIF(tbl_rimborsi_compilazione[SP_ID],tbl_spese_compilazione[[#This Row],[SP_ID]],tbl_rimborsi_compilazione[Euro])</f>
        <v>0</v>
      </c>
      <c r="I67" s="112">
        <f>IF(tbl_spese_compilazione[[#This Row],[Euro Lordo]]-tbl_spese_compilazione[[#This Row],[Rimborso tot]]&lt;0,0,tbl_spese_compilazione[[#This Row],[Euro Lordo]]-tbl_spese_compilazione[[#This Row],[Rimborso tot]])</f>
        <v>3.5</v>
      </c>
      <c r="J67" s="113">
        <f>IF(tbl_spese_compilazione[[#This Row],[Rimborso tot]]&gt;tbl_spese_compilazione[[#This Row],[Euro Lordo]],H67-tbl_spese_compilazione[[#This Row],[Euro Lordo]],0)</f>
        <v>0</v>
      </c>
      <c r="K67" s="113"/>
      <c r="L67" s="16" t="s">
        <v>209</v>
      </c>
      <c r="M67" s="74" t="s">
        <v>251</v>
      </c>
      <c r="N67" s="74" t="s">
        <v>157</v>
      </c>
    </row>
    <row r="68" spans="2:14" x14ac:dyDescent="0.3">
      <c r="B68" s="74">
        <v>37</v>
      </c>
      <c r="C68" s="15">
        <v>45917</v>
      </c>
      <c r="D68" s="3" t="s">
        <v>14</v>
      </c>
      <c r="E68" s="108" t="s">
        <v>246</v>
      </c>
      <c r="F68" s="109" t="s">
        <v>248</v>
      </c>
      <c r="G68" s="36">
        <v>13</v>
      </c>
      <c r="H68" s="113">
        <f>SUMIF(tbl_rimborsi_compilazione[SP_ID],tbl_spese_compilazione[[#This Row],[SP_ID]],tbl_rimborsi_compilazione[Euro])</f>
        <v>13</v>
      </c>
      <c r="I68" s="112">
        <f>IF(tbl_spese_compilazione[[#This Row],[Euro Lordo]]-tbl_spese_compilazione[[#This Row],[Rimborso tot]]&lt;0,0,tbl_spese_compilazione[[#This Row],[Euro Lordo]]-tbl_spese_compilazione[[#This Row],[Rimborso tot]])</f>
        <v>0</v>
      </c>
      <c r="J68" s="113">
        <f>IF(tbl_spese_compilazione[[#This Row],[Rimborso tot]]&gt;tbl_spese_compilazione[[#This Row],[Euro Lordo]],H68-tbl_spese_compilazione[[#This Row],[Euro Lordo]],0)</f>
        <v>0</v>
      </c>
      <c r="K68" s="113"/>
      <c r="L68" s="124" t="s">
        <v>214</v>
      </c>
      <c r="M68" s="74" t="s">
        <v>169</v>
      </c>
      <c r="N68" s="74" t="s">
        <v>157</v>
      </c>
    </row>
    <row r="69" spans="2:14" x14ac:dyDescent="0.3">
      <c r="B69" s="74">
        <v>36</v>
      </c>
      <c r="C69" s="15">
        <v>45917</v>
      </c>
      <c r="D69" s="3" t="s">
        <v>14</v>
      </c>
      <c r="E69" s="3" t="s">
        <v>74</v>
      </c>
      <c r="F69" s="16" t="s">
        <v>86</v>
      </c>
      <c r="G69" s="36">
        <v>94</v>
      </c>
      <c r="H69" s="113">
        <f>SUMIF(tbl_rimborsi_compilazione[SP_ID],tbl_spese_compilazione[[#This Row],[SP_ID]],tbl_rimborsi_compilazione[Euro])</f>
        <v>50</v>
      </c>
      <c r="I69" s="112">
        <f>IF(tbl_spese_compilazione[[#This Row],[Euro Lordo]]-tbl_spese_compilazione[[#This Row],[Rimborso tot]]&lt;0,0,tbl_spese_compilazione[[#This Row],[Euro Lordo]]-tbl_spese_compilazione[[#This Row],[Rimborso tot]])</f>
        <v>44</v>
      </c>
      <c r="J69" s="113">
        <f>IF(tbl_spese_compilazione[[#This Row],[Rimborso tot]]&gt;tbl_spese_compilazione[[#This Row],[Euro Lordo]],H69-tbl_spese_compilazione[[#This Row],[Euro Lordo]],0)</f>
        <v>0</v>
      </c>
      <c r="K69" s="113"/>
      <c r="L69" s="105" t="s">
        <v>233</v>
      </c>
      <c r="M69" s="74" t="s">
        <v>169</v>
      </c>
      <c r="N69" s="74" t="s">
        <v>157</v>
      </c>
    </row>
    <row r="70" spans="2:14" x14ac:dyDescent="0.3">
      <c r="B70" s="74">
        <v>35</v>
      </c>
      <c r="C70" s="15">
        <v>45917</v>
      </c>
      <c r="D70" s="3" t="s">
        <v>14</v>
      </c>
      <c r="E70" s="3" t="s">
        <v>74</v>
      </c>
      <c r="F70" s="16" t="s">
        <v>80</v>
      </c>
      <c r="G70" s="36">
        <v>15</v>
      </c>
      <c r="H70" s="113">
        <f>SUMIF(tbl_rimborsi_compilazione[SP_ID],tbl_spese_compilazione[[#This Row],[SP_ID]],tbl_rimborsi_compilazione[Euro])</f>
        <v>0</v>
      </c>
      <c r="I70" s="112">
        <f>IF(tbl_spese_compilazione[[#This Row],[Euro Lordo]]-tbl_spese_compilazione[[#This Row],[Rimborso tot]]&lt;0,0,tbl_spese_compilazione[[#This Row],[Euro Lordo]]-tbl_spese_compilazione[[#This Row],[Rimborso tot]])</f>
        <v>15</v>
      </c>
      <c r="J70" s="113">
        <f>IF(tbl_spese_compilazione[[#This Row],[Rimborso tot]]&gt;tbl_spese_compilazione[[#This Row],[Euro Lordo]],H70-tbl_spese_compilazione[[#This Row],[Euro Lordo]],0)</f>
        <v>0</v>
      </c>
      <c r="K70" s="113"/>
      <c r="L70" s="16"/>
      <c r="M70" s="74" t="s">
        <v>167</v>
      </c>
      <c r="N70" s="74" t="s">
        <v>157</v>
      </c>
    </row>
    <row r="71" spans="2:14" x14ac:dyDescent="0.3">
      <c r="B71" s="74">
        <v>34</v>
      </c>
      <c r="C71" s="15">
        <v>45916</v>
      </c>
      <c r="D71" s="3" t="s">
        <v>14</v>
      </c>
      <c r="E71" s="108" t="s">
        <v>246</v>
      </c>
      <c r="F71" s="109" t="s">
        <v>248</v>
      </c>
      <c r="G71" s="36">
        <v>10</v>
      </c>
      <c r="H71" s="113">
        <f>SUMIF(tbl_rimborsi_compilazione[SP_ID],tbl_spese_compilazione[[#This Row],[SP_ID]],tbl_rimborsi_compilazione[Euro])</f>
        <v>10</v>
      </c>
      <c r="I71" s="112">
        <f>IF(tbl_spese_compilazione[[#This Row],[Euro Lordo]]-tbl_spese_compilazione[[#This Row],[Rimborso tot]]&lt;0,0,tbl_spese_compilazione[[#This Row],[Euro Lordo]]-tbl_spese_compilazione[[#This Row],[Rimborso tot]])</f>
        <v>0</v>
      </c>
      <c r="J71" s="113">
        <f>IF(tbl_spese_compilazione[[#This Row],[Rimborso tot]]&gt;tbl_spese_compilazione[[#This Row],[Euro Lordo]],H71-tbl_spese_compilazione[[#This Row],[Euro Lordo]],0)</f>
        <v>0</v>
      </c>
      <c r="K71" s="113"/>
      <c r="L71" s="124" t="s">
        <v>214</v>
      </c>
      <c r="M71" s="74" t="s">
        <v>169</v>
      </c>
      <c r="N71" s="74" t="s">
        <v>157</v>
      </c>
    </row>
    <row r="72" spans="2:14" x14ac:dyDescent="0.3">
      <c r="B72" s="74">
        <v>33</v>
      </c>
      <c r="C72" s="15">
        <v>45915</v>
      </c>
      <c r="D72" s="3" t="s">
        <v>14</v>
      </c>
      <c r="E72" s="3" t="s">
        <v>35</v>
      </c>
      <c r="F72" s="16" t="s">
        <v>53</v>
      </c>
      <c r="G72" s="36">
        <v>39.979999999999997</v>
      </c>
      <c r="H72" s="113">
        <f>SUMIF(tbl_rimborsi_compilazione[SP_ID],tbl_spese_compilazione[[#This Row],[SP_ID]],tbl_rimborsi_compilazione[Euro])</f>
        <v>0</v>
      </c>
      <c r="I72" s="112">
        <f>IF(tbl_spese_compilazione[[#This Row],[Euro Lordo]]-tbl_spese_compilazione[[#This Row],[Rimborso tot]]&lt;0,0,tbl_spese_compilazione[[#This Row],[Euro Lordo]]-tbl_spese_compilazione[[#This Row],[Rimborso tot]])</f>
        <v>39.979999999999997</v>
      </c>
      <c r="J72" s="113">
        <f>IF(tbl_spese_compilazione[[#This Row],[Rimborso tot]]&gt;tbl_spese_compilazione[[#This Row],[Euro Lordo]],H72-tbl_spese_compilazione[[#This Row],[Euro Lordo]],0)</f>
        <v>0</v>
      </c>
      <c r="K72" s="113"/>
      <c r="L72" s="16"/>
      <c r="M72" s="74" t="s">
        <v>169</v>
      </c>
      <c r="N72" s="74" t="s">
        <v>157</v>
      </c>
    </row>
    <row r="73" spans="2:14" x14ac:dyDescent="0.3">
      <c r="B73" s="74">
        <v>32</v>
      </c>
      <c r="C73" s="15">
        <v>45914</v>
      </c>
      <c r="D73" s="3" t="s">
        <v>14</v>
      </c>
      <c r="E73" s="3" t="s">
        <v>35</v>
      </c>
      <c r="F73" s="171" t="s">
        <v>282</v>
      </c>
      <c r="G73" s="36">
        <v>49.98</v>
      </c>
      <c r="H73" s="113">
        <f>SUMIF(tbl_rimborsi_compilazione[SP_ID],tbl_spese_compilazione[[#This Row],[SP_ID]],tbl_rimborsi_compilazione[Euro])</f>
        <v>0</v>
      </c>
      <c r="I73" s="112">
        <f>IF(tbl_spese_compilazione[[#This Row],[Euro Lordo]]-tbl_spese_compilazione[[#This Row],[Rimborso tot]]&lt;0,0,tbl_spese_compilazione[[#This Row],[Euro Lordo]]-tbl_spese_compilazione[[#This Row],[Rimborso tot]])</f>
        <v>49.98</v>
      </c>
      <c r="J73" s="113">
        <f>IF(tbl_spese_compilazione[[#This Row],[Rimborso tot]]&gt;tbl_spese_compilazione[[#This Row],[Euro Lordo]],H73-tbl_spese_compilazione[[#This Row],[Euro Lordo]],0)</f>
        <v>0</v>
      </c>
      <c r="K73" s="113"/>
      <c r="L73" s="16" t="s">
        <v>208</v>
      </c>
      <c r="M73" s="74" t="s">
        <v>169</v>
      </c>
      <c r="N73" s="74" t="s">
        <v>157</v>
      </c>
    </row>
    <row r="74" spans="2:14" x14ac:dyDescent="0.3">
      <c r="B74" s="74">
        <v>31</v>
      </c>
      <c r="C74" s="15">
        <v>45913</v>
      </c>
      <c r="D74" s="3" t="s">
        <v>14</v>
      </c>
      <c r="E74" s="3" t="s">
        <v>74</v>
      </c>
      <c r="F74" s="16" t="s">
        <v>80</v>
      </c>
      <c r="G74" s="36">
        <v>12</v>
      </c>
      <c r="H74" s="113">
        <f>SUMIF(tbl_rimborsi_compilazione[SP_ID],tbl_spese_compilazione[[#This Row],[SP_ID]],tbl_rimborsi_compilazione[Euro])</f>
        <v>0</v>
      </c>
      <c r="I74" s="112">
        <f>IF(tbl_spese_compilazione[[#This Row],[Euro Lordo]]-tbl_spese_compilazione[[#This Row],[Rimborso tot]]&lt;0,0,tbl_spese_compilazione[[#This Row],[Euro Lordo]]-tbl_spese_compilazione[[#This Row],[Rimborso tot]])</f>
        <v>12</v>
      </c>
      <c r="J74" s="113">
        <f>IF(tbl_spese_compilazione[[#This Row],[Rimborso tot]]&gt;tbl_spese_compilazione[[#This Row],[Euro Lordo]],H74-tbl_spese_compilazione[[#This Row],[Euro Lordo]],0)</f>
        <v>0</v>
      </c>
      <c r="K74" s="113"/>
      <c r="L74" s="16"/>
      <c r="M74" s="74" t="s">
        <v>169</v>
      </c>
      <c r="N74" s="74" t="s">
        <v>157</v>
      </c>
    </row>
    <row r="75" spans="2:14" x14ac:dyDescent="0.3">
      <c r="B75" s="74">
        <v>30</v>
      </c>
      <c r="C75" s="15">
        <v>45913</v>
      </c>
      <c r="D75" s="3" t="s">
        <v>14</v>
      </c>
      <c r="E75" s="3" t="s">
        <v>35</v>
      </c>
      <c r="F75" s="16" t="s">
        <v>53</v>
      </c>
      <c r="G75" s="36">
        <v>30</v>
      </c>
      <c r="H75" s="113">
        <f>SUMIF(tbl_rimborsi_compilazione[SP_ID],tbl_spese_compilazione[[#This Row],[SP_ID]],tbl_rimborsi_compilazione[Euro])</f>
        <v>0</v>
      </c>
      <c r="I75" s="112">
        <f>IF(tbl_spese_compilazione[[#This Row],[Euro Lordo]]-tbl_spese_compilazione[[#This Row],[Rimborso tot]]&lt;0,0,tbl_spese_compilazione[[#This Row],[Euro Lordo]]-tbl_spese_compilazione[[#This Row],[Rimborso tot]])</f>
        <v>30</v>
      </c>
      <c r="J75" s="113">
        <f>IF(tbl_spese_compilazione[[#This Row],[Rimborso tot]]&gt;tbl_spese_compilazione[[#This Row],[Euro Lordo]],H75-tbl_spese_compilazione[[#This Row],[Euro Lordo]],0)</f>
        <v>0</v>
      </c>
      <c r="K75" s="113"/>
      <c r="L75" s="16" t="s">
        <v>207</v>
      </c>
      <c r="M75" s="74" t="s">
        <v>169</v>
      </c>
      <c r="N75" s="74" t="s">
        <v>157</v>
      </c>
    </row>
    <row r="76" spans="2:14" x14ac:dyDescent="0.3">
      <c r="B76" s="74">
        <v>29</v>
      </c>
      <c r="C76" s="15">
        <v>45913</v>
      </c>
      <c r="D76" s="3" t="s">
        <v>14</v>
      </c>
      <c r="E76" s="3" t="s">
        <v>35</v>
      </c>
      <c r="F76" s="16" t="s">
        <v>53</v>
      </c>
      <c r="G76" s="36">
        <v>20.29</v>
      </c>
      <c r="H76" s="113">
        <f>SUMIF(tbl_rimborsi_compilazione[SP_ID],tbl_spese_compilazione[[#This Row],[SP_ID]],tbl_rimborsi_compilazione[Euro])</f>
        <v>0</v>
      </c>
      <c r="I76" s="112">
        <f>IF(tbl_spese_compilazione[[#This Row],[Euro Lordo]]-tbl_spese_compilazione[[#This Row],[Rimborso tot]]&lt;0,0,tbl_spese_compilazione[[#This Row],[Euro Lordo]]-tbl_spese_compilazione[[#This Row],[Rimborso tot]])</f>
        <v>20.29</v>
      </c>
      <c r="J76" s="113">
        <f>IF(tbl_spese_compilazione[[#This Row],[Rimborso tot]]&gt;tbl_spese_compilazione[[#This Row],[Euro Lordo]],H76-tbl_spese_compilazione[[#This Row],[Euro Lordo]],0)</f>
        <v>0</v>
      </c>
      <c r="K76" s="113"/>
      <c r="L76" s="16"/>
      <c r="M76" s="74" t="s">
        <v>169</v>
      </c>
      <c r="N76" s="74" t="s">
        <v>157</v>
      </c>
    </row>
    <row r="77" spans="2:14" x14ac:dyDescent="0.3">
      <c r="B77" s="74">
        <v>28</v>
      </c>
      <c r="C77" s="15">
        <v>45913</v>
      </c>
      <c r="D77" s="3" t="s">
        <v>14</v>
      </c>
      <c r="E77" s="3" t="s">
        <v>71</v>
      </c>
      <c r="F77" s="16" t="s">
        <v>77</v>
      </c>
      <c r="G77" s="36">
        <v>6</v>
      </c>
      <c r="H77" s="113">
        <f>SUMIF(tbl_rimborsi_compilazione[SP_ID],tbl_spese_compilazione[[#This Row],[SP_ID]],tbl_rimborsi_compilazione[Euro])</f>
        <v>0</v>
      </c>
      <c r="I77" s="112">
        <f>IF(tbl_spese_compilazione[[#This Row],[Euro Lordo]]-tbl_spese_compilazione[[#This Row],[Rimborso tot]]&lt;0,0,tbl_spese_compilazione[[#This Row],[Euro Lordo]]-tbl_spese_compilazione[[#This Row],[Rimborso tot]])</f>
        <v>6</v>
      </c>
      <c r="J77" s="113">
        <f>IF(tbl_spese_compilazione[[#This Row],[Rimborso tot]]&gt;tbl_spese_compilazione[[#This Row],[Euro Lordo]],H77-tbl_spese_compilazione[[#This Row],[Euro Lordo]],0)</f>
        <v>0</v>
      </c>
      <c r="K77" s="113"/>
      <c r="L77" s="16" t="s">
        <v>206</v>
      </c>
      <c r="M77" s="74" t="s">
        <v>251</v>
      </c>
      <c r="N77" s="74" t="s">
        <v>157</v>
      </c>
    </row>
    <row r="78" spans="2:14" x14ac:dyDescent="0.3">
      <c r="B78" s="74">
        <v>27</v>
      </c>
      <c r="C78" s="15">
        <v>45913</v>
      </c>
      <c r="D78" s="3" t="s">
        <v>14</v>
      </c>
      <c r="E78" s="3" t="s">
        <v>74</v>
      </c>
      <c r="F78" s="16" t="s">
        <v>80</v>
      </c>
      <c r="G78" s="36">
        <v>42</v>
      </c>
      <c r="H78" s="113">
        <f>SUMIF(tbl_rimborsi_compilazione[SP_ID],tbl_spese_compilazione[[#This Row],[SP_ID]],tbl_rimborsi_compilazione[Euro])</f>
        <v>37</v>
      </c>
      <c r="I78" s="112">
        <f>IF(tbl_spese_compilazione[[#This Row],[Euro Lordo]]-tbl_spese_compilazione[[#This Row],[Rimborso tot]]&lt;0,0,tbl_spese_compilazione[[#This Row],[Euro Lordo]]-tbl_spese_compilazione[[#This Row],[Rimborso tot]])</f>
        <v>5</v>
      </c>
      <c r="J78" s="113">
        <f>IF(tbl_spese_compilazione[[#This Row],[Rimborso tot]]&gt;tbl_spese_compilazione[[#This Row],[Euro Lordo]],H78-tbl_spese_compilazione[[#This Row],[Euro Lordo]],0)</f>
        <v>0</v>
      </c>
      <c r="K78" s="113"/>
      <c r="L78" s="16" t="s">
        <v>205</v>
      </c>
      <c r="M78" s="74" t="s">
        <v>167</v>
      </c>
      <c r="N78" s="74" t="s">
        <v>157</v>
      </c>
    </row>
    <row r="79" spans="2:14" x14ac:dyDescent="0.3">
      <c r="B79" s="74">
        <v>26</v>
      </c>
      <c r="C79" s="15">
        <v>45915</v>
      </c>
      <c r="D79" s="3" t="s">
        <v>14</v>
      </c>
      <c r="E79" s="3" t="s">
        <v>64</v>
      </c>
      <c r="F79" s="16" t="s">
        <v>92</v>
      </c>
      <c r="G79" s="36">
        <v>3.9</v>
      </c>
      <c r="H79" s="113">
        <f>SUMIF(tbl_rimborsi_compilazione[SP_ID],tbl_spese_compilazione[[#This Row],[SP_ID]],tbl_rimborsi_compilazione[Euro])</f>
        <v>0</v>
      </c>
      <c r="I79" s="112">
        <f>IF(tbl_spese_compilazione[[#This Row],[Euro Lordo]]-tbl_spese_compilazione[[#This Row],[Rimborso tot]]&lt;0,0,tbl_spese_compilazione[[#This Row],[Euro Lordo]]-tbl_spese_compilazione[[#This Row],[Rimborso tot]])</f>
        <v>3.9</v>
      </c>
      <c r="J79" s="113">
        <f>IF(tbl_spese_compilazione[[#This Row],[Rimborso tot]]&gt;tbl_spese_compilazione[[#This Row],[Euro Lordo]],H79-tbl_spese_compilazione[[#This Row],[Euro Lordo]],0)</f>
        <v>0</v>
      </c>
      <c r="K79" s="113"/>
      <c r="L79" s="16"/>
      <c r="M79" s="74" t="s">
        <v>168</v>
      </c>
      <c r="N79" s="74" t="s">
        <v>157</v>
      </c>
    </row>
    <row r="80" spans="2:14" x14ac:dyDescent="0.3">
      <c r="B80" s="74">
        <v>25</v>
      </c>
      <c r="C80" s="15">
        <v>45912</v>
      </c>
      <c r="D80" s="3" t="s">
        <v>14</v>
      </c>
      <c r="E80" s="3" t="s">
        <v>74</v>
      </c>
      <c r="F80" s="16" t="s">
        <v>80</v>
      </c>
      <c r="G80" s="36">
        <v>6.5</v>
      </c>
      <c r="H80" s="113">
        <f>SUMIF(tbl_rimborsi_compilazione[SP_ID],tbl_spese_compilazione[[#This Row],[SP_ID]],tbl_rimborsi_compilazione[Euro])</f>
        <v>20</v>
      </c>
      <c r="I80" s="112">
        <f>IF(tbl_spese_compilazione[[#This Row],[Euro Lordo]]-tbl_spese_compilazione[[#This Row],[Rimborso tot]]&lt;0,0,tbl_spese_compilazione[[#This Row],[Euro Lordo]]-tbl_spese_compilazione[[#This Row],[Rimborso tot]])</f>
        <v>0</v>
      </c>
      <c r="J80" s="113">
        <f>IF(tbl_spese_compilazione[[#This Row],[Rimborso tot]]&gt;tbl_spese_compilazione[[#This Row],[Euro Lordo]],H80-tbl_spese_compilazione[[#This Row],[Euro Lordo]],0)</f>
        <v>13.5</v>
      </c>
      <c r="K80" s="113"/>
      <c r="L80" s="16" t="s">
        <v>202</v>
      </c>
      <c r="M80" s="74" t="s">
        <v>169</v>
      </c>
      <c r="N80" s="74" t="s">
        <v>157</v>
      </c>
    </row>
    <row r="81" spans="2:14" x14ac:dyDescent="0.3">
      <c r="B81" s="74">
        <v>24</v>
      </c>
      <c r="C81" s="15">
        <v>45912</v>
      </c>
      <c r="D81" s="3" t="s">
        <v>14</v>
      </c>
      <c r="E81" s="3" t="s">
        <v>74</v>
      </c>
      <c r="F81" s="16" t="s">
        <v>80</v>
      </c>
      <c r="G81" s="36">
        <v>6</v>
      </c>
      <c r="H81" s="113">
        <f>SUMIF(tbl_rimborsi_compilazione[SP_ID],tbl_spese_compilazione[[#This Row],[SP_ID]],tbl_rimborsi_compilazione[Euro])</f>
        <v>0</v>
      </c>
      <c r="I81" s="112">
        <f>IF(tbl_spese_compilazione[[#This Row],[Euro Lordo]]-tbl_spese_compilazione[[#This Row],[Rimborso tot]]&lt;0,0,tbl_spese_compilazione[[#This Row],[Euro Lordo]]-tbl_spese_compilazione[[#This Row],[Rimborso tot]])</f>
        <v>6</v>
      </c>
      <c r="J81" s="113">
        <f>IF(tbl_spese_compilazione[[#This Row],[Rimborso tot]]&gt;tbl_spese_compilazione[[#This Row],[Euro Lordo]],H81-tbl_spese_compilazione[[#This Row],[Euro Lordo]],0)</f>
        <v>0</v>
      </c>
      <c r="K81" s="113"/>
      <c r="L81" s="16" t="s">
        <v>201</v>
      </c>
      <c r="M81" s="74" t="s">
        <v>169</v>
      </c>
      <c r="N81" s="74" t="s">
        <v>157</v>
      </c>
    </row>
    <row r="82" spans="2:14" x14ac:dyDescent="0.3">
      <c r="B82" s="74">
        <v>23</v>
      </c>
      <c r="C82" s="15">
        <v>45912</v>
      </c>
      <c r="D82" s="3" t="s">
        <v>14</v>
      </c>
      <c r="E82" s="3" t="s">
        <v>74</v>
      </c>
      <c r="F82" s="16" t="s">
        <v>85</v>
      </c>
      <c r="G82" s="36">
        <v>31.05</v>
      </c>
      <c r="H82" s="113">
        <f>SUMIF(tbl_rimborsi_compilazione[SP_ID],tbl_spese_compilazione[[#This Row],[SP_ID]],tbl_rimborsi_compilazione[Euro])</f>
        <v>15</v>
      </c>
      <c r="I82" s="112">
        <f>IF(tbl_spese_compilazione[[#This Row],[Euro Lordo]]-tbl_spese_compilazione[[#This Row],[Rimborso tot]]&lt;0,0,tbl_spese_compilazione[[#This Row],[Euro Lordo]]-tbl_spese_compilazione[[#This Row],[Rimborso tot]])</f>
        <v>16.05</v>
      </c>
      <c r="J82" s="113">
        <f>IF(tbl_spese_compilazione[[#This Row],[Rimborso tot]]&gt;tbl_spese_compilazione[[#This Row],[Euro Lordo]],H82-tbl_spese_compilazione[[#This Row],[Euro Lordo]],0)</f>
        <v>0</v>
      </c>
      <c r="K82" s="113"/>
      <c r="L82" s="16" t="s">
        <v>200</v>
      </c>
      <c r="M82" s="74" t="s">
        <v>169</v>
      </c>
      <c r="N82" s="74" t="s">
        <v>157</v>
      </c>
    </row>
    <row r="83" spans="2:14" x14ac:dyDescent="0.3">
      <c r="B83" s="74">
        <v>22</v>
      </c>
      <c r="C83" s="15">
        <v>45912</v>
      </c>
      <c r="D83" s="3" t="s">
        <v>14</v>
      </c>
      <c r="E83" s="3" t="s">
        <v>71</v>
      </c>
      <c r="F83" s="16" t="s">
        <v>77</v>
      </c>
      <c r="G83" s="36">
        <v>48</v>
      </c>
      <c r="H83" s="113">
        <f>SUMIF(tbl_rimborsi_compilazione[SP_ID],tbl_spese_compilazione[[#This Row],[SP_ID]],tbl_rimborsi_compilazione[Euro])</f>
        <v>0</v>
      </c>
      <c r="I83" s="112">
        <f>IF(tbl_spese_compilazione[[#This Row],[Euro Lordo]]-tbl_spese_compilazione[[#This Row],[Rimborso tot]]&lt;0,0,tbl_spese_compilazione[[#This Row],[Euro Lordo]]-tbl_spese_compilazione[[#This Row],[Rimborso tot]])</f>
        <v>48</v>
      </c>
      <c r="J83" s="113">
        <f>IF(tbl_spese_compilazione[[#This Row],[Rimborso tot]]&gt;tbl_spese_compilazione[[#This Row],[Euro Lordo]],H83-tbl_spese_compilazione[[#This Row],[Euro Lordo]],0)</f>
        <v>0</v>
      </c>
      <c r="K83" s="113"/>
      <c r="L83" s="16" t="s">
        <v>199</v>
      </c>
      <c r="M83" s="74" t="s">
        <v>169</v>
      </c>
      <c r="N83" s="74" t="s">
        <v>157</v>
      </c>
    </row>
    <row r="84" spans="2:14" x14ac:dyDescent="0.3">
      <c r="B84" s="74">
        <v>21</v>
      </c>
      <c r="C84" s="15">
        <v>45910</v>
      </c>
      <c r="D84" s="3" t="s">
        <v>14</v>
      </c>
      <c r="E84" s="3" t="s">
        <v>71</v>
      </c>
      <c r="F84" s="16" t="s">
        <v>79</v>
      </c>
      <c r="G84" s="36">
        <v>2</v>
      </c>
      <c r="H84" s="113">
        <f>SUMIF(tbl_rimborsi_compilazione[SP_ID],tbl_spese_compilazione[[#This Row],[SP_ID]],tbl_rimborsi_compilazione[Euro])</f>
        <v>0</v>
      </c>
      <c r="I84" s="112">
        <f>IF(tbl_spese_compilazione[[#This Row],[Euro Lordo]]-tbl_spese_compilazione[[#This Row],[Rimborso tot]]&lt;0,0,tbl_spese_compilazione[[#This Row],[Euro Lordo]]-tbl_spese_compilazione[[#This Row],[Rimborso tot]])</f>
        <v>2</v>
      </c>
      <c r="J84" s="113">
        <f>IF(tbl_spese_compilazione[[#This Row],[Rimborso tot]]&gt;tbl_spese_compilazione[[#This Row],[Euro Lordo]],H84-tbl_spese_compilazione[[#This Row],[Euro Lordo]],0)</f>
        <v>0</v>
      </c>
      <c r="K84" s="113"/>
      <c r="L84" s="16"/>
      <c r="M84" s="74" t="s">
        <v>167</v>
      </c>
      <c r="N84" s="74" t="s">
        <v>157</v>
      </c>
    </row>
    <row r="85" spans="2:14" x14ac:dyDescent="0.3">
      <c r="B85" s="74">
        <v>20</v>
      </c>
      <c r="C85" s="15">
        <v>45909</v>
      </c>
      <c r="D85" s="3" t="s">
        <v>14</v>
      </c>
      <c r="E85" s="3" t="s">
        <v>74</v>
      </c>
      <c r="F85" s="16" t="s">
        <v>80</v>
      </c>
      <c r="G85" s="36">
        <v>4</v>
      </c>
      <c r="H85" s="113">
        <f>SUMIF(tbl_rimborsi_compilazione[SP_ID],tbl_spese_compilazione[[#This Row],[SP_ID]],tbl_rimborsi_compilazione[Euro])</f>
        <v>0</v>
      </c>
      <c r="I85" s="112">
        <f>IF(tbl_spese_compilazione[[#This Row],[Euro Lordo]]-tbl_spese_compilazione[[#This Row],[Rimborso tot]]&lt;0,0,tbl_spese_compilazione[[#This Row],[Euro Lordo]]-tbl_spese_compilazione[[#This Row],[Rimborso tot]])</f>
        <v>4</v>
      </c>
      <c r="J85" s="113">
        <f>IF(tbl_spese_compilazione[[#This Row],[Rimborso tot]]&gt;tbl_spese_compilazione[[#This Row],[Euro Lordo]],H85-tbl_spese_compilazione[[#This Row],[Euro Lordo]],0)</f>
        <v>0</v>
      </c>
      <c r="K85" s="113"/>
      <c r="L85" s="16"/>
      <c r="M85" s="74" t="s">
        <v>169</v>
      </c>
      <c r="N85" s="74" t="s">
        <v>157</v>
      </c>
    </row>
    <row r="86" spans="2:14" x14ac:dyDescent="0.3">
      <c r="B86" s="74">
        <v>19</v>
      </c>
      <c r="C86" s="15">
        <v>45909</v>
      </c>
      <c r="D86" s="3" t="s">
        <v>14</v>
      </c>
      <c r="E86" s="3" t="s">
        <v>74</v>
      </c>
      <c r="F86" s="16" t="s">
        <v>80</v>
      </c>
      <c r="G86" s="36">
        <v>6.2</v>
      </c>
      <c r="H86" s="113">
        <f>SUMIF(tbl_rimborsi_compilazione[SP_ID],tbl_spese_compilazione[[#This Row],[SP_ID]],tbl_rimborsi_compilazione[Euro])</f>
        <v>0</v>
      </c>
      <c r="I86" s="112">
        <f>IF(tbl_spese_compilazione[[#This Row],[Euro Lordo]]-tbl_spese_compilazione[[#This Row],[Rimborso tot]]&lt;0,0,tbl_spese_compilazione[[#This Row],[Euro Lordo]]-tbl_spese_compilazione[[#This Row],[Rimborso tot]])</f>
        <v>6.2</v>
      </c>
      <c r="J86" s="113">
        <f>IF(tbl_spese_compilazione[[#This Row],[Rimborso tot]]&gt;tbl_spese_compilazione[[#This Row],[Euro Lordo]],H86-tbl_spese_compilazione[[#This Row],[Euro Lordo]],0)</f>
        <v>0</v>
      </c>
      <c r="K86" s="113"/>
      <c r="L86" s="16"/>
      <c r="M86" s="74" t="s">
        <v>169</v>
      </c>
      <c r="N86" s="74" t="s">
        <v>157</v>
      </c>
    </row>
    <row r="87" spans="2:14" x14ac:dyDescent="0.3">
      <c r="B87" s="74">
        <v>18</v>
      </c>
      <c r="C87" s="15">
        <v>45909</v>
      </c>
      <c r="D87" s="3" t="s">
        <v>14</v>
      </c>
      <c r="E87" s="3" t="s">
        <v>35</v>
      </c>
      <c r="F87" s="16" t="s">
        <v>53</v>
      </c>
      <c r="G87" s="36">
        <v>69.760000000000005</v>
      </c>
      <c r="H87" s="113">
        <f>SUMIF(tbl_rimborsi_compilazione[SP_ID],tbl_spese_compilazione[[#This Row],[SP_ID]],tbl_rimborsi_compilazione[Euro])</f>
        <v>22</v>
      </c>
      <c r="I87" s="112">
        <f>IF(tbl_spese_compilazione[[#This Row],[Euro Lordo]]-tbl_spese_compilazione[[#This Row],[Rimborso tot]]&lt;0,0,tbl_spese_compilazione[[#This Row],[Euro Lordo]]-tbl_spese_compilazione[[#This Row],[Rimborso tot]])</f>
        <v>47.760000000000005</v>
      </c>
      <c r="J87" s="113">
        <f>IF(tbl_spese_compilazione[[#This Row],[Rimborso tot]]&gt;tbl_spese_compilazione[[#This Row],[Euro Lordo]],H87-tbl_spese_compilazione[[#This Row],[Euro Lordo]],0)</f>
        <v>0</v>
      </c>
      <c r="K87" s="113"/>
      <c r="L87" s="16" t="s">
        <v>196</v>
      </c>
      <c r="M87" s="74" t="s">
        <v>169</v>
      </c>
      <c r="N87" s="74" t="s">
        <v>157</v>
      </c>
    </row>
    <row r="88" spans="2:14" x14ac:dyDescent="0.3">
      <c r="B88" s="74">
        <v>17</v>
      </c>
      <c r="C88" s="15">
        <v>45909</v>
      </c>
      <c r="D88" s="3" t="s">
        <v>14</v>
      </c>
      <c r="E88" s="3" t="s">
        <v>35</v>
      </c>
      <c r="F88" s="16" t="s">
        <v>53</v>
      </c>
      <c r="G88" s="36">
        <v>100.25</v>
      </c>
      <c r="H88" s="113">
        <f>SUMIF(tbl_rimborsi_compilazione[SP_ID],tbl_spese_compilazione[[#This Row],[SP_ID]],tbl_rimborsi_compilazione[Euro])</f>
        <v>0</v>
      </c>
      <c r="I88" s="112">
        <f>IF(tbl_spese_compilazione[[#This Row],[Euro Lordo]]-tbl_spese_compilazione[[#This Row],[Rimborso tot]]&lt;0,0,tbl_spese_compilazione[[#This Row],[Euro Lordo]]-tbl_spese_compilazione[[#This Row],[Rimborso tot]])</f>
        <v>100.25</v>
      </c>
      <c r="J88" s="113">
        <f>IF(tbl_spese_compilazione[[#This Row],[Rimborso tot]]&gt;tbl_spese_compilazione[[#This Row],[Euro Lordo]],H88-tbl_spese_compilazione[[#This Row],[Euro Lordo]],0)</f>
        <v>0</v>
      </c>
      <c r="K88" s="113"/>
      <c r="L88" s="16" t="s">
        <v>195</v>
      </c>
      <c r="M88" s="74" t="s">
        <v>167</v>
      </c>
      <c r="N88" s="74" t="s">
        <v>157</v>
      </c>
    </row>
    <row r="89" spans="2:14" x14ac:dyDescent="0.3">
      <c r="B89" s="74">
        <v>16</v>
      </c>
      <c r="C89" s="15">
        <v>45908</v>
      </c>
      <c r="D89" s="3" t="s">
        <v>14</v>
      </c>
      <c r="E89" s="3" t="s">
        <v>74</v>
      </c>
      <c r="F89" s="16" t="s">
        <v>85</v>
      </c>
      <c r="G89" s="36">
        <v>25</v>
      </c>
      <c r="H89" s="113">
        <f>SUMIF(tbl_rimborsi_compilazione[SP_ID],tbl_spese_compilazione[[#This Row],[SP_ID]],tbl_rimborsi_compilazione[Euro])</f>
        <v>0</v>
      </c>
      <c r="I89" s="112">
        <f>IF(tbl_spese_compilazione[[#This Row],[Euro Lordo]]-tbl_spese_compilazione[[#This Row],[Rimborso tot]]&lt;0,0,tbl_spese_compilazione[[#This Row],[Euro Lordo]]-tbl_spese_compilazione[[#This Row],[Rimborso tot]])</f>
        <v>25</v>
      </c>
      <c r="J89" s="113">
        <f>IF(tbl_spese_compilazione[[#This Row],[Rimborso tot]]&gt;tbl_spese_compilazione[[#This Row],[Euro Lordo]],H89-tbl_spese_compilazione[[#This Row],[Euro Lordo]],0)</f>
        <v>0</v>
      </c>
      <c r="K89" s="113"/>
      <c r="L89" s="16"/>
      <c r="M89" s="74" t="s">
        <v>167</v>
      </c>
      <c r="N89" s="74" t="s">
        <v>157</v>
      </c>
    </row>
    <row r="90" spans="2:14" x14ac:dyDescent="0.3">
      <c r="B90" s="74">
        <v>15</v>
      </c>
      <c r="C90" s="15">
        <v>45908</v>
      </c>
      <c r="D90" s="3" t="s">
        <v>14</v>
      </c>
      <c r="E90" s="3" t="s">
        <v>74</v>
      </c>
      <c r="F90" s="16" t="s">
        <v>80</v>
      </c>
      <c r="G90" s="36">
        <v>4.2</v>
      </c>
      <c r="H90" s="113">
        <f>SUMIF(tbl_rimborsi_compilazione[SP_ID],tbl_spese_compilazione[[#This Row],[SP_ID]],tbl_rimborsi_compilazione[Euro])</f>
        <v>0</v>
      </c>
      <c r="I90" s="112">
        <f>IF(tbl_spese_compilazione[[#This Row],[Euro Lordo]]-tbl_spese_compilazione[[#This Row],[Rimborso tot]]&lt;0,0,tbl_spese_compilazione[[#This Row],[Euro Lordo]]-tbl_spese_compilazione[[#This Row],[Rimborso tot]])</f>
        <v>4.2</v>
      </c>
      <c r="J90" s="113">
        <f>IF(tbl_spese_compilazione[[#This Row],[Rimborso tot]]&gt;tbl_spese_compilazione[[#This Row],[Euro Lordo]],H90-tbl_spese_compilazione[[#This Row],[Euro Lordo]],0)</f>
        <v>0</v>
      </c>
      <c r="K90" s="113"/>
      <c r="L90" s="16" t="s">
        <v>193</v>
      </c>
      <c r="M90" s="74" t="s">
        <v>169</v>
      </c>
      <c r="N90" s="74" t="s">
        <v>157</v>
      </c>
    </row>
    <row r="91" spans="2:14" x14ac:dyDescent="0.3">
      <c r="B91" s="74">
        <v>14</v>
      </c>
      <c r="C91" s="15">
        <v>45905</v>
      </c>
      <c r="D91" s="3" t="s">
        <v>14</v>
      </c>
      <c r="E91" s="108" t="s">
        <v>246</v>
      </c>
      <c r="F91" s="109" t="s">
        <v>248</v>
      </c>
      <c r="G91" s="36">
        <v>6.5</v>
      </c>
      <c r="H91" s="113">
        <f>SUMIF(tbl_rimborsi_compilazione[SP_ID],tbl_spese_compilazione[[#This Row],[SP_ID]],tbl_rimborsi_compilazione[Euro])</f>
        <v>6.5</v>
      </c>
      <c r="I91" s="112">
        <f>IF(tbl_spese_compilazione[[#This Row],[Euro Lordo]]-tbl_spese_compilazione[[#This Row],[Rimborso tot]]&lt;0,0,tbl_spese_compilazione[[#This Row],[Euro Lordo]]-tbl_spese_compilazione[[#This Row],[Rimborso tot]])</f>
        <v>0</v>
      </c>
      <c r="J91" s="113">
        <f>IF(tbl_spese_compilazione[[#This Row],[Rimborso tot]]&gt;tbl_spese_compilazione[[#This Row],[Euro Lordo]],H91-tbl_spese_compilazione[[#This Row],[Euro Lordo]],0)</f>
        <v>0</v>
      </c>
      <c r="K91" s="113"/>
      <c r="L91" s="124" t="s">
        <v>214</v>
      </c>
      <c r="M91" s="74" t="s">
        <v>169</v>
      </c>
      <c r="N91" s="74" t="s">
        <v>157</v>
      </c>
    </row>
    <row r="92" spans="2:14" x14ac:dyDescent="0.3">
      <c r="B92" s="74">
        <v>13</v>
      </c>
      <c r="C92" s="15">
        <v>45902</v>
      </c>
      <c r="D92" s="3" t="s">
        <v>14</v>
      </c>
      <c r="E92" s="108" t="s">
        <v>246</v>
      </c>
      <c r="F92" s="109" t="s">
        <v>248</v>
      </c>
      <c r="G92" s="36">
        <v>23</v>
      </c>
      <c r="H92" s="113">
        <f>SUMIF(tbl_rimborsi_compilazione[SP_ID],tbl_spese_compilazione[[#This Row],[SP_ID]],tbl_rimborsi_compilazione[Euro])</f>
        <v>23</v>
      </c>
      <c r="I92" s="112">
        <f>IF(tbl_spese_compilazione[[#This Row],[Euro Lordo]]-tbl_spese_compilazione[[#This Row],[Rimborso tot]]&lt;0,0,tbl_spese_compilazione[[#This Row],[Euro Lordo]]-tbl_spese_compilazione[[#This Row],[Rimborso tot]])</f>
        <v>0</v>
      </c>
      <c r="J92" s="113">
        <f>IF(tbl_spese_compilazione[[#This Row],[Rimborso tot]]&gt;tbl_spese_compilazione[[#This Row],[Euro Lordo]],H92-tbl_spese_compilazione[[#This Row],[Euro Lordo]],0)</f>
        <v>0</v>
      </c>
      <c r="K92" s="113"/>
      <c r="L92" s="124" t="s">
        <v>214</v>
      </c>
      <c r="M92" s="74" t="s">
        <v>169</v>
      </c>
      <c r="N92" s="74" t="s">
        <v>157</v>
      </c>
    </row>
    <row r="93" spans="2:14" x14ac:dyDescent="0.3">
      <c r="B93" s="74">
        <v>12</v>
      </c>
      <c r="C93" s="15">
        <v>45992</v>
      </c>
      <c r="D93" s="108" t="s">
        <v>7</v>
      </c>
      <c r="E93" s="3"/>
      <c r="F93" s="16"/>
      <c r="G93" s="36">
        <v>0</v>
      </c>
      <c r="H93" s="113">
        <f>SUMIF(tbl_rimborsi_compilazione[SP_ID],tbl_spese_compilazione[[#This Row],[SP_ID]],tbl_rimborsi_compilazione[Euro])</f>
        <v>0</v>
      </c>
      <c r="I93" s="112">
        <f>IF(tbl_spese_compilazione[[#This Row],[Euro Lordo]]-tbl_spese_compilazione[[#This Row],[Rimborso tot]]&lt;0,0,tbl_spese_compilazione[[#This Row],[Euro Lordo]]-tbl_spese_compilazione[[#This Row],[Rimborso tot]])</f>
        <v>0</v>
      </c>
      <c r="J93" s="113">
        <f>IF(tbl_spese_compilazione[[#This Row],[Rimborso tot]]&gt;tbl_spese_compilazione[[#This Row],[Euro Lordo]],H93-tbl_spese_compilazione[[#This Row],[Euro Lordo]],0)</f>
        <v>0</v>
      </c>
      <c r="K93" s="113"/>
      <c r="L93" s="16"/>
      <c r="M93" s="74"/>
      <c r="N93" s="74"/>
    </row>
    <row r="94" spans="2:14" x14ac:dyDescent="0.3">
      <c r="B94" s="74">
        <v>11</v>
      </c>
      <c r="C94" s="15">
        <v>45962</v>
      </c>
      <c r="D94" s="108" t="s">
        <v>16</v>
      </c>
      <c r="E94" s="3"/>
      <c r="F94" s="16"/>
      <c r="G94" s="36">
        <v>0</v>
      </c>
      <c r="H94" s="113">
        <f>SUMIF(tbl_rimborsi_compilazione[SP_ID],tbl_spese_compilazione[[#This Row],[SP_ID]],tbl_rimborsi_compilazione[Euro])</f>
        <v>0</v>
      </c>
      <c r="I94" s="112">
        <f>IF(tbl_spese_compilazione[[#This Row],[Euro Lordo]]-tbl_spese_compilazione[[#This Row],[Rimborso tot]]&lt;0,0,tbl_spese_compilazione[[#This Row],[Euro Lordo]]-tbl_spese_compilazione[[#This Row],[Rimborso tot]])</f>
        <v>0</v>
      </c>
      <c r="J94" s="113">
        <f>IF(tbl_spese_compilazione[[#This Row],[Rimborso tot]]&gt;tbl_spese_compilazione[[#This Row],[Euro Lordo]],H94-tbl_spese_compilazione[[#This Row],[Euro Lordo]],0)</f>
        <v>0</v>
      </c>
      <c r="K94" s="113"/>
      <c r="L94" s="16"/>
      <c r="M94" s="74"/>
      <c r="N94" s="74"/>
    </row>
    <row r="95" spans="2:14" x14ac:dyDescent="0.3">
      <c r="B95" s="74">
        <v>10</v>
      </c>
      <c r="C95" s="15">
        <v>45931</v>
      </c>
      <c r="D95" s="108" t="s">
        <v>15</v>
      </c>
      <c r="E95" s="3"/>
      <c r="F95" s="16"/>
      <c r="G95" s="36">
        <v>0</v>
      </c>
      <c r="H95" s="113">
        <f>SUMIF(tbl_rimborsi_compilazione[SP_ID],tbl_spese_compilazione[[#This Row],[SP_ID]],tbl_rimborsi_compilazione[Euro])</f>
        <v>0</v>
      </c>
      <c r="I95" s="112">
        <f>IF(tbl_spese_compilazione[[#This Row],[Euro Lordo]]-tbl_spese_compilazione[[#This Row],[Rimborso tot]]&lt;0,0,tbl_spese_compilazione[[#This Row],[Euro Lordo]]-tbl_spese_compilazione[[#This Row],[Rimborso tot]])</f>
        <v>0</v>
      </c>
      <c r="J95" s="113">
        <f>IF(tbl_spese_compilazione[[#This Row],[Rimborso tot]]&gt;tbl_spese_compilazione[[#This Row],[Euro Lordo]],H95-tbl_spese_compilazione[[#This Row],[Euro Lordo]],0)</f>
        <v>0</v>
      </c>
      <c r="K95" s="113"/>
      <c r="L95" s="16"/>
      <c r="M95" s="74"/>
      <c r="N95" s="74"/>
    </row>
    <row r="96" spans="2:14" x14ac:dyDescent="0.3">
      <c r="B96" s="74">
        <v>9</v>
      </c>
      <c r="C96" s="15">
        <v>45901</v>
      </c>
      <c r="D96" s="108" t="s">
        <v>14</v>
      </c>
      <c r="E96" s="3"/>
      <c r="F96" s="16"/>
      <c r="G96" s="36">
        <v>0</v>
      </c>
      <c r="H96" s="113">
        <f>SUMIF(tbl_rimborsi_compilazione[SP_ID],tbl_spese_compilazione[[#This Row],[SP_ID]],tbl_rimborsi_compilazione[Euro])</f>
        <v>0</v>
      </c>
      <c r="I96" s="112">
        <f>IF(tbl_spese_compilazione[[#This Row],[Euro Lordo]]-tbl_spese_compilazione[[#This Row],[Rimborso tot]]&lt;0,0,tbl_spese_compilazione[[#This Row],[Euro Lordo]]-tbl_spese_compilazione[[#This Row],[Rimborso tot]])</f>
        <v>0</v>
      </c>
      <c r="J96" s="113">
        <f>IF(tbl_spese_compilazione[[#This Row],[Rimborso tot]]&gt;tbl_spese_compilazione[[#This Row],[Euro Lordo]],H96-tbl_spese_compilazione[[#This Row],[Euro Lordo]],0)</f>
        <v>0</v>
      </c>
      <c r="K96" s="113"/>
      <c r="L96" s="16"/>
      <c r="M96" s="74"/>
      <c r="N96" s="74"/>
    </row>
    <row r="97" spans="2:14" x14ac:dyDescent="0.3">
      <c r="B97" s="74">
        <v>8</v>
      </c>
      <c r="C97" s="15">
        <v>45870</v>
      </c>
      <c r="D97" s="108" t="s">
        <v>13</v>
      </c>
      <c r="E97" s="3"/>
      <c r="F97" s="16"/>
      <c r="G97" s="36">
        <v>0</v>
      </c>
      <c r="H97" s="113">
        <f>SUMIF(tbl_rimborsi_compilazione[SP_ID],tbl_spese_compilazione[[#This Row],[SP_ID]],tbl_rimborsi_compilazione[Euro])</f>
        <v>0</v>
      </c>
      <c r="I97" s="112">
        <f>IF(tbl_spese_compilazione[[#This Row],[Euro Lordo]]-tbl_spese_compilazione[[#This Row],[Rimborso tot]]&lt;0,0,tbl_spese_compilazione[[#This Row],[Euro Lordo]]-tbl_spese_compilazione[[#This Row],[Rimborso tot]])</f>
        <v>0</v>
      </c>
      <c r="J97" s="113">
        <f>IF(tbl_spese_compilazione[[#This Row],[Rimborso tot]]&gt;tbl_spese_compilazione[[#This Row],[Euro Lordo]],H97-tbl_spese_compilazione[[#This Row],[Euro Lordo]],0)</f>
        <v>0</v>
      </c>
      <c r="K97" s="113"/>
      <c r="L97" s="16"/>
      <c r="M97" s="74"/>
      <c r="N97" s="74"/>
    </row>
    <row r="98" spans="2:14" x14ac:dyDescent="0.3">
      <c r="B98" s="74">
        <v>7</v>
      </c>
      <c r="C98" s="15">
        <v>45839</v>
      </c>
      <c r="D98" s="108" t="s">
        <v>12</v>
      </c>
      <c r="E98" s="3"/>
      <c r="F98" s="16"/>
      <c r="G98" s="36">
        <v>0</v>
      </c>
      <c r="H98" s="113">
        <f>SUMIF(tbl_rimborsi_compilazione[SP_ID],tbl_spese_compilazione[[#This Row],[SP_ID]],tbl_rimborsi_compilazione[Euro])</f>
        <v>0</v>
      </c>
      <c r="I98" s="112">
        <f>IF(tbl_spese_compilazione[[#This Row],[Euro Lordo]]-tbl_spese_compilazione[[#This Row],[Rimborso tot]]&lt;0,0,tbl_spese_compilazione[[#This Row],[Euro Lordo]]-tbl_spese_compilazione[[#This Row],[Rimborso tot]])</f>
        <v>0</v>
      </c>
      <c r="J98" s="113">
        <f>IF(tbl_spese_compilazione[[#This Row],[Rimborso tot]]&gt;tbl_spese_compilazione[[#This Row],[Euro Lordo]],H98-tbl_spese_compilazione[[#This Row],[Euro Lordo]],0)</f>
        <v>0</v>
      </c>
      <c r="K98" s="113"/>
      <c r="L98" s="16"/>
      <c r="M98" s="74"/>
      <c r="N98" s="74"/>
    </row>
    <row r="99" spans="2:14" x14ac:dyDescent="0.3">
      <c r="B99" s="74">
        <v>6</v>
      </c>
      <c r="C99" s="15">
        <v>45809</v>
      </c>
      <c r="D99" s="108" t="s">
        <v>11</v>
      </c>
      <c r="E99" s="3"/>
      <c r="F99" s="16"/>
      <c r="G99" s="36">
        <v>0</v>
      </c>
      <c r="H99" s="113">
        <f>SUMIF(tbl_rimborsi_compilazione[SP_ID],tbl_spese_compilazione[[#This Row],[SP_ID]],tbl_rimborsi_compilazione[Euro])</f>
        <v>0</v>
      </c>
      <c r="I99" s="112">
        <f>IF(tbl_spese_compilazione[[#This Row],[Euro Lordo]]-tbl_spese_compilazione[[#This Row],[Rimborso tot]]&lt;0,0,tbl_spese_compilazione[[#This Row],[Euro Lordo]]-tbl_spese_compilazione[[#This Row],[Rimborso tot]])</f>
        <v>0</v>
      </c>
      <c r="J99" s="113">
        <f>IF(tbl_spese_compilazione[[#This Row],[Rimborso tot]]&gt;tbl_spese_compilazione[[#This Row],[Euro Lordo]],H99-tbl_spese_compilazione[[#This Row],[Euro Lordo]],0)</f>
        <v>0</v>
      </c>
      <c r="K99" s="113"/>
      <c r="L99" s="16"/>
      <c r="M99" s="74"/>
      <c r="N99" s="74"/>
    </row>
    <row r="100" spans="2:14" x14ac:dyDescent="0.3">
      <c r="B100" s="74">
        <v>5</v>
      </c>
      <c r="C100" s="15">
        <v>45778</v>
      </c>
      <c r="D100" s="108" t="s">
        <v>10</v>
      </c>
      <c r="E100" s="3"/>
      <c r="F100" s="16"/>
      <c r="G100" s="36">
        <v>0</v>
      </c>
      <c r="H100" s="113">
        <f>SUMIF(tbl_rimborsi_compilazione[SP_ID],tbl_spese_compilazione[[#This Row],[SP_ID]],tbl_rimborsi_compilazione[Euro])</f>
        <v>0</v>
      </c>
      <c r="I100" s="112">
        <f>IF(tbl_spese_compilazione[[#This Row],[Euro Lordo]]-tbl_spese_compilazione[[#This Row],[Rimborso tot]]&lt;0,0,tbl_spese_compilazione[[#This Row],[Euro Lordo]]-tbl_spese_compilazione[[#This Row],[Rimborso tot]])</f>
        <v>0</v>
      </c>
      <c r="J100" s="113">
        <f>IF(tbl_spese_compilazione[[#This Row],[Rimborso tot]]&gt;tbl_spese_compilazione[[#This Row],[Euro Lordo]],H100-tbl_spese_compilazione[[#This Row],[Euro Lordo]],0)</f>
        <v>0</v>
      </c>
      <c r="K100" s="113"/>
      <c r="L100" s="16"/>
      <c r="M100" s="74"/>
      <c r="N100" s="74"/>
    </row>
    <row r="101" spans="2:14" x14ac:dyDescent="0.3">
      <c r="B101" s="74">
        <v>4</v>
      </c>
      <c r="C101" s="15">
        <v>45748</v>
      </c>
      <c r="D101" s="108" t="s">
        <v>9</v>
      </c>
      <c r="E101" s="3"/>
      <c r="F101" s="16"/>
      <c r="G101" s="36">
        <v>0</v>
      </c>
      <c r="H101" s="113">
        <f>SUMIF(tbl_rimborsi_compilazione[SP_ID],tbl_spese_compilazione[[#This Row],[SP_ID]],tbl_rimborsi_compilazione[Euro])</f>
        <v>0</v>
      </c>
      <c r="I101" s="112">
        <f>IF(tbl_spese_compilazione[[#This Row],[Euro Lordo]]-tbl_spese_compilazione[[#This Row],[Rimborso tot]]&lt;0,0,tbl_spese_compilazione[[#This Row],[Euro Lordo]]-tbl_spese_compilazione[[#This Row],[Rimborso tot]])</f>
        <v>0</v>
      </c>
      <c r="J101" s="113">
        <f>IF(tbl_spese_compilazione[[#This Row],[Rimborso tot]]&gt;tbl_spese_compilazione[[#This Row],[Euro Lordo]],H101-tbl_spese_compilazione[[#This Row],[Euro Lordo]],0)</f>
        <v>0</v>
      </c>
      <c r="K101" s="113"/>
      <c r="L101" s="16"/>
      <c r="M101" s="74"/>
      <c r="N101" s="74"/>
    </row>
    <row r="102" spans="2:14" x14ac:dyDescent="0.3">
      <c r="B102" s="74">
        <v>3</v>
      </c>
      <c r="C102" s="15">
        <v>45717</v>
      </c>
      <c r="D102" s="108" t="s">
        <v>8</v>
      </c>
      <c r="E102" s="3"/>
      <c r="F102" s="16"/>
      <c r="G102" s="36">
        <v>0</v>
      </c>
      <c r="H102" s="113">
        <f>SUMIF(tbl_rimborsi_compilazione[SP_ID],tbl_spese_compilazione[[#This Row],[SP_ID]],tbl_rimborsi_compilazione[Euro])</f>
        <v>0</v>
      </c>
      <c r="I102" s="112">
        <f>IF(tbl_spese_compilazione[[#This Row],[Euro Lordo]]-tbl_spese_compilazione[[#This Row],[Rimborso tot]]&lt;0,0,tbl_spese_compilazione[[#This Row],[Euro Lordo]]-tbl_spese_compilazione[[#This Row],[Rimborso tot]])</f>
        <v>0</v>
      </c>
      <c r="J102" s="113">
        <f>IF(tbl_spese_compilazione[[#This Row],[Rimborso tot]]&gt;tbl_spese_compilazione[[#This Row],[Euro Lordo]],H102-tbl_spese_compilazione[[#This Row],[Euro Lordo]],0)</f>
        <v>0</v>
      </c>
      <c r="K102" s="113"/>
      <c r="L102" s="16"/>
      <c r="M102" s="74"/>
      <c r="N102" s="74"/>
    </row>
    <row r="103" spans="2:14" x14ac:dyDescent="0.3">
      <c r="B103" s="74">
        <v>2</v>
      </c>
      <c r="C103" s="15">
        <v>45689</v>
      </c>
      <c r="D103" s="108" t="s">
        <v>6</v>
      </c>
      <c r="E103" s="3"/>
      <c r="F103" s="16"/>
      <c r="G103" s="36">
        <v>0</v>
      </c>
      <c r="H103" s="113">
        <f>SUMIF(tbl_rimborsi_compilazione[SP_ID],tbl_spese_compilazione[[#This Row],[SP_ID]],tbl_rimborsi_compilazione[Euro])</f>
        <v>0</v>
      </c>
      <c r="I103" s="112">
        <f>IF(tbl_spese_compilazione[[#This Row],[Euro Lordo]]-tbl_spese_compilazione[[#This Row],[Rimborso tot]]&lt;0,0,tbl_spese_compilazione[[#This Row],[Euro Lordo]]-tbl_spese_compilazione[[#This Row],[Rimborso tot]])</f>
        <v>0</v>
      </c>
      <c r="J103" s="113">
        <f>IF(tbl_spese_compilazione[[#This Row],[Rimborso tot]]&gt;tbl_spese_compilazione[[#This Row],[Euro Lordo]],H103-tbl_spese_compilazione[[#This Row],[Euro Lordo]],0)</f>
        <v>0</v>
      </c>
      <c r="K103" s="113"/>
      <c r="L103" s="16"/>
      <c r="M103" s="74"/>
      <c r="N103" s="74"/>
    </row>
    <row r="104" spans="2:14" x14ac:dyDescent="0.3">
      <c r="B104" s="74">
        <v>1</v>
      </c>
      <c r="C104" s="15">
        <v>45658</v>
      </c>
      <c r="D104" s="108" t="s">
        <v>5</v>
      </c>
      <c r="E104" s="3"/>
      <c r="F104" s="16"/>
      <c r="G104" s="36">
        <v>0</v>
      </c>
      <c r="H104" s="113">
        <f>SUMIF(tbl_rimborsi_compilazione[SP_ID],tbl_spese_compilazione[[#This Row],[SP_ID]],tbl_rimborsi_compilazione[Euro])</f>
        <v>0</v>
      </c>
      <c r="I104" s="112">
        <f>IF(tbl_spese_compilazione[[#This Row],[Euro Lordo]]-tbl_spese_compilazione[[#This Row],[Rimborso tot]]&lt;0,0,tbl_spese_compilazione[[#This Row],[Euro Lordo]]-tbl_spese_compilazione[[#This Row],[Rimborso tot]])</f>
        <v>0</v>
      </c>
      <c r="J104" s="113">
        <f>IF(tbl_spese_compilazione[[#This Row],[Rimborso tot]]&gt;tbl_spese_compilazione[[#This Row],[Euro Lordo]],H104-tbl_spese_compilazione[[#This Row],[Euro Lordo]],0)</f>
        <v>0</v>
      </c>
      <c r="K104" s="113"/>
      <c r="L104" s="16"/>
      <c r="M104" s="74"/>
      <c r="N104" s="74"/>
    </row>
  </sheetData>
  <mergeCells count="1">
    <mergeCell ref="P2:Q2"/>
  </mergeCells>
  <phoneticPr fontId="16" type="noConversion"/>
  <dataValidations count="4">
    <dataValidation type="list" allowBlank="1" showInputMessage="1" showErrorMessage="1" sqref="Q5" xr:uid="{2A2251F0-3D3F-4ACD-9823-1757821F5B5A}">
      <formula1>spese_lista</formula1>
    </dataValidation>
    <dataValidation type="list" allowBlank="1" showInputMessage="1" showErrorMessage="1" sqref="Q6" xr:uid="{1A3FB05E-BBA6-40EA-92B3-FB028680CF2A}">
      <formula1>INDIRECT(SUBSTITUTE(Q5," ","")&amp;"_lista")</formula1>
    </dataValidation>
    <dataValidation type="list" allowBlank="1" showInputMessage="1" showErrorMessage="1" sqref="Q10" xr:uid="{046D06A4-108C-4C67-8584-E8BCF3B83C24}">
      <formula1>carte_lista</formula1>
    </dataValidation>
    <dataValidation type="list" allowBlank="1" showInputMessage="1" showErrorMessage="1" sqref="Q11" xr:uid="{57F0EC26-C18F-4C8C-B9DE-8576C6649F58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InserimentoSpese">
                <anchor>
                  <from>
                    <xdr:col>14</xdr:col>
                    <xdr:colOff>601980</xdr:colOff>
                    <xdr:row>11</xdr:row>
                    <xdr:rowOff>167640</xdr:rowOff>
                  </from>
                  <to>
                    <xdr:col>17</xdr:col>
                    <xdr:colOff>22860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FCBC-7136-4DAC-A689-D7270C207DDD}">
  <sheetPr codeName="Foglio10">
    <tabColor theme="9" tint="-0.249977111117893"/>
  </sheetPr>
  <dimension ref="B1:Z530"/>
  <sheetViews>
    <sheetView zoomScale="70" zoomScaleNormal="70" workbookViewId="0">
      <selection activeCell="C12" sqref="C12:I12"/>
    </sheetView>
  </sheetViews>
  <sheetFormatPr defaultRowHeight="14.4" x14ac:dyDescent="0.3"/>
  <cols>
    <col min="1" max="1" width="13" style="1" customWidth="1"/>
    <col min="2" max="2" width="11" style="1" customWidth="1"/>
    <col min="3" max="3" width="9.109375" style="1" customWidth="1"/>
    <col min="4" max="4" width="22.77734375" style="1" customWidth="1"/>
    <col min="5" max="5" width="14" style="1" customWidth="1"/>
    <col min="6" max="6" width="10" style="1" customWidth="1"/>
    <col min="7" max="7" width="33.77734375" style="1" customWidth="1"/>
    <col min="8" max="8" width="16.33203125" style="1" customWidth="1"/>
    <col min="9" max="9" width="14.21875" style="1" customWidth="1"/>
    <col min="10" max="10" width="7.21875" style="1" customWidth="1"/>
    <col min="11" max="11" width="22.88671875" style="1" customWidth="1"/>
    <col min="12" max="12" width="19.21875" style="1" customWidth="1"/>
    <col min="13" max="13" width="11.33203125" style="1" customWidth="1"/>
    <col min="14" max="14" width="15.5546875" style="1" customWidth="1"/>
    <col min="15" max="15" width="16" style="1" customWidth="1"/>
    <col min="16" max="16" width="9.77734375" style="1" bestFit="1" customWidth="1"/>
    <col min="17" max="17" width="15.44140625" style="1" bestFit="1" customWidth="1"/>
    <col min="18" max="18" width="15.109375" style="1" bestFit="1" customWidth="1"/>
    <col min="19" max="19" width="17.77734375" style="1" customWidth="1"/>
    <col min="20" max="20" width="17.88671875" style="1" customWidth="1"/>
    <col min="21" max="21" width="18.44140625" style="1" customWidth="1"/>
    <col min="22" max="22" width="15.44140625" style="1" customWidth="1"/>
    <col min="23" max="23" width="20.77734375" style="1" customWidth="1"/>
    <col min="24" max="24" width="21.6640625" style="1" customWidth="1"/>
    <col min="25" max="16384" width="8.88671875" style="1"/>
  </cols>
  <sheetData>
    <row r="1" spans="2:26" ht="15" thickBot="1" x14ac:dyDescent="0.35">
      <c r="N1" s="137" t="s">
        <v>260</v>
      </c>
      <c r="O1" s="142" t="s">
        <v>258</v>
      </c>
      <c r="P1" s="142" t="s">
        <v>259</v>
      </c>
      <c r="R1" s="137" t="s">
        <v>260</v>
      </c>
      <c r="S1" s="142" t="s">
        <v>258</v>
      </c>
      <c r="T1" s="142" t="s">
        <v>259</v>
      </c>
    </row>
    <row r="2" spans="2:26" ht="15" thickBot="1" x14ac:dyDescent="0.35">
      <c r="H2" s="137" t="s">
        <v>243</v>
      </c>
      <c r="I2" s="137">
        <f>L3</f>
        <v>75</v>
      </c>
      <c r="K2" s="187" t="s">
        <v>244</v>
      </c>
      <c r="L2" s="188"/>
      <c r="N2" s="150" t="s">
        <v>5</v>
      </c>
      <c r="O2" s="151">
        <f>SUMIFS(tbl_spese_compilazione[Euro Lordo],tbl_spese_compilazione[Mese],N2,tbl_spese_compilazione[Categoria],"rimborso",tbl_spese_compilazione[Sottocategoria],"lavoro")</f>
        <v>0</v>
      </c>
      <c r="P2" s="152">
        <f>SUMIFS(tbl_spese_compilazione[Rimborso tot],tbl_spese_compilazione[Mese],N2,tbl_spese_compilazione[Categoria],"rimborso",tbl_spese_compilazione[Sottocategoria],"lavoro")</f>
        <v>0</v>
      </c>
      <c r="R2" s="147" t="s">
        <v>12</v>
      </c>
      <c r="S2" s="148">
        <f>SUMIFS(tbl_spese_compilazione[Euro Lordo],tbl_spese_compilazione[Mese],R2,tbl_spese_compilazione[Categoria],"rimborso",tbl_spese_compilazione[Sottocategoria],"lavoro")</f>
        <v>0</v>
      </c>
      <c r="T2" s="149">
        <f>SUMIFS(tbl_spese_compilazione[Rimborso tot],tbl_spese_compilazione[Mese],R2,tbl_spese_compilazione[Categoria],"rimborso",tbl_spese_compilazione[Sottocategoria],"lavoro")</f>
        <v>0</v>
      </c>
      <c r="U2" s="125"/>
      <c r="V2" s="125"/>
      <c r="W2" s="125"/>
      <c r="X2" s="125"/>
      <c r="Y2" s="125"/>
    </row>
    <row r="3" spans="2:26" x14ac:dyDescent="0.3">
      <c r="H3" s="150" t="s">
        <v>237</v>
      </c>
      <c r="I3" s="151">
        <f>_xlfn.XLOOKUP(I2,tbl_spese_compilazione[SP_ID],tbl_spese_compilazione[Euro Lordo])</f>
        <v>46</v>
      </c>
      <c r="K3" s="119" t="s">
        <v>243</v>
      </c>
      <c r="L3" s="127">
        <v>75</v>
      </c>
      <c r="N3" s="147" t="s">
        <v>6</v>
      </c>
      <c r="O3" s="148">
        <f>SUMIFS(tbl_spese_compilazione[Euro Lordo],tbl_spese_compilazione[Mese],N3,tbl_spese_compilazione[Categoria],"rimborso",tbl_spese_compilazione[Sottocategoria],"lavoro")</f>
        <v>0</v>
      </c>
      <c r="P3" s="149">
        <f>SUMIFS(tbl_spese_compilazione[Rimborso tot],tbl_spese_compilazione[Mese],N3,tbl_spese_compilazione[Categoria],"rimborso",tbl_spese_compilazione[Sottocategoria],"lavoro")</f>
        <v>0</v>
      </c>
      <c r="R3" s="147" t="s">
        <v>13</v>
      </c>
      <c r="S3" s="148">
        <f>SUMIFS(tbl_spese_compilazione[Euro Lordo],tbl_spese_compilazione[Mese],R3,tbl_spese_compilazione[Categoria],"rimborso",tbl_spese_compilazione[Sottocategoria],"lavoro")</f>
        <v>0</v>
      </c>
      <c r="T3" s="149">
        <f>SUMIFS(tbl_spese_compilazione[Rimborso tot],tbl_spese_compilazione[Mese],R3,tbl_spese_compilazione[Categoria],"rimborso",tbl_spese_compilazione[Sottocategoria],"lavoro")</f>
        <v>0</v>
      </c>
    </row>
    <row r="4" spans="2:26" x14ac:dyDescent="0.3">
      <c r="H4" s="147" t="s">
        <v>261</v>
      </c>
      <c r="I4" s="154">
        <f>$I$3/2</f>
        <v>23</v>
      </c>
      <c r="K4" s="116" t="s">
        <v>17</v>
      </c>
      <c r="L4" s="118">
        <f>_xlfn.XLOOKUP(L3,tbl_spese_compilazione[SP_ID],tbl_spese_compilazione[Data])</f>
        <v>45937</v>
      </c>
      <c r="N4" s="147" t="s">
        <v>8</v>
      </c>
      <c r="O4" s="148">
        <f>SUMIFS(tbl_spese_compilazione[Euro Lordo],tbl_spese_compilazione[Mese],N4,tbl_spese_compilazione[Categoria],"rimborso",tbl_spese_compilazione[Sottocategoria],"lavoro")</f>
        <v>0</v>
      </c>
      <c r="P4" s="149">
        <f>SUMIFS(tbl_spese_compilazione[Rimborso tot],tbl_spese_compilazione[Mese],N4,tbl_spese_compilazione[Categoria],"rimborso",tbl_spese_compilazione[Sottocategoria],"lavoro")</f>
        <v>0</v>
      </c>
      <c r="R4" s="147" t="s">
        <v>14</v>
      </c>
      <c r="S4" s="148">
        <f>SUMIFS(tbl_spese_compilazione[Euro Lordo],tbl_spese_compilazione[Mese],R4,tbl_spese_compilazione[Categoria],"rimborso",tbl_spese_compilazione[Sottocategoria],"lavoro")</f>
        <v>110.7</v>
      </c>
      <c r="T4" s="149">
        <f>SUMIFS(tbl_spese_compilazione[Rimborso tot],tbl_spese_compilazione[Mese],R4,tbl_spese_compilazione[Categoria],"rimborso",tbl_spese_compilazione[Sottocategoria],"lavoro")</f>
        <v>110.7</v>
      </c>
    </row>
    <row r="5" spans="2:26" x14ac:dyDescent="0.3">
      <c r="H5" s="147" t="s">
        <v>262</v>
      </c>
      <c r="I5" s="154">
        <f>$I$3/3</f>
        <v>15.333333333333334</v>
      </c>
      <c r="K5" s="116" t="s">
        <v>18</v>
      </c>
      <c r="L5" s="70" t="str">
        <f>_xlfn.XLOOKUP(L3,tbl_spese_compilazione[SP_ID],tbl_spese_compilazione[Mese])</f>
        <v>ottobre</v>
      </c>
      <c r="N5" s="147" t="s">
        <v>9</v>
      </c>
      <c r="O5" s="148">
        <f>SUMIFS(tbl_spese_compilazione[Euro Lordo],tbl_spese_compilazione[Mese],N5,tbl_spese_compilazione[Categoria],"rimborso",tbl_spese_compilazione[Sottocategoria],"lavoro")</f>
        <v>0</v>
      </c>
      <c r="P5" s="149">
        <f>SUMIFS(tbl_spese_compilazione[Rimborso tot],tbl_spese_compilazione[Mese],N5,tbl_spese_compilazione[Categoria],"rimborso",tbl_spese_compilazione[Sottocategoria],"lavoro")</f>
        <v>0</v>
      </c>
      <c r="R5" s="147" t="s">
        <v>15</v>
      </c>
      <c r="S5" s="148">
        <f>SUMIFS(tbl_spese_compilazione[Euro Lordo],tbl_spese_compilazione[Mese],R5,tbl_spese_compilazione[Categoria],"rimborso",tbl_spese_compilazione[Sottocategoria],"lavoro")</f>
        <v>43.4</v>
      </c>
      <c r="T5" s="149">
        <f>SUMIFS(tbl_spese_compilazione[Rimborso tot],tbl_spese_compilazione[Mese],R5,tbl_spese_compilazione[Categoria],"rimborso",tbl_spese_compilazione[Sottocategoria],"lavoro")</f>
        <v>0</v>
      </c>
    </row>
    <row r="6" spans="2:26" x14ac:dyDescent="0.3">
      <c r="H6" s="150" t="s">
        <v>263</v>
      </c>
      <c r="I6" s="154">
        <f>$I$3/4</f>
        <v>11.5</v>
      </c>
      <c r="K6" s="116" t="s">
        <v>21</v>
      </c>
      <c r="L6" s="75">
        <v>45</v>
      </c>
      <c r="N6" s="147" t="s">
        <v>10</v>
      </c>
      <c r="O6" s="148">
        <f>SUMIFS(tbl_spese_compilazione[Euro Lordo],tbl_spese_compilazione[Mese],N6,tbl_spese_compilazione[Categoria],"rimborso",tbl_spese_compilazione[Sottocategoria],"lavoro")</f>
        <v>0</v>
      </c>
      <c r="P6" s="149">
        <f>SUMIFS(tbl_spese_compilazione[Rimborso tot],tbl_spese_compilazione[Mese],N6,tbl_spese_compilazione[Categoria],"rimborso",tbl_spese_compilazione[Sottocategoria],"lavoro")</f>
        <v>0</v>
      </c>
      <c r="R6" s="147" t="s">
        <v>16</v>
      </c>
      <c r="S6" s="148">
        <f>SUMIFS(tbl_spese_compilazione[Euro Lordo],tbl_spese_compilazione[Mese],R6,tbl_spese_compilazione[Categoria],"rimborso",tbl_spese_compilazione[Sottocategoria],"lavoro")</f>
        <v>0</v>
      </c>
      <c r="T6" s="149">
        <f>SUMIFS(tbl_spese_compilazione[Rimborso tot],tbl_spese_compilazione[Mese],R6,tbl_spese_compilazione[Categoria],"rimborso",tbl_spese_compilazione[Sottocategoria],"lavoro")</f>
        <v>0</v>
      </c>
    </row>
    <row r="7" spans="2:26" x14ac:dyDescent="0.3">
      <c r="H7" s="150" t="s">
        <v>264</v>
      </c>
      <c r="I7" s="154">
        <f>$I$3/5</f>
        <v>9.1999999999999993</v>
      </c>
      <c r="K7" s="116" t="s">
        <v>22</v>
      </c>
      <c r="L7" s="244" t="s">
        <v>304</v>
      </c>
      <c r="N7" s="147" t="s">
        <v>11</v>
      </c>
      <c r="O7" s="148">
        <f>SUMIFS(tbl_spese_compilazione[Euro Lordo],tbl_spese_compilazione[Mese],N7,tbl_spese_compilazione[Categoria],"rimborso",tbl_spese_compilazione[Sottocategoria],"lavoro")</f>
        <v>0</v>
      </c>
      <c r="P7" s="149">
        <f>SUMIFS(tbl_spese_compilazione[Rimborso tot],tbl_spese_compilazione[Mese],N7,tbl_spese_compilazione[Categoria],"rimborso",tbl_spese_compilazione[Sottocategoria],"lavoro")</f>
        <v>0</v>
      </c>
      <c r="R7" s="147" t="s">
        <v>7</v>
      </c>
      <c r="S7" s="148">
        <f>SUMIFS(tbl_spese_compilazione[Euro Lordo],tbl_spese_compilazione[Mese],R7,tbl_spese_compilazione[Categoria],"rimborso",tbl_spese_compilazione[Sottocategoria],"lavoro")</f>
        <v>0</v>
      </c>
      <c r="T7" s="149">
        <f>SUMIFS(tbl_spese_compilazione[Rimborso tot],tbl_spese_compilazione[Mese],R7,tbl_spese_compilazione[Categoria],"rimborso",tbl_spese_compilazione[Sottocategoria],"lavoro")</f>
        <v>0</v>
      </c>
    </row>
    <row r="8" spans="2:26" x14ac:dyDescent="0.3">
      <c r="H8" s="150" t="s">
        <v>265</v>
      </c>
      <c r="I8" s="154">
        <f>$I$3/6</f>
        <v>7.666666666666667</v>
      </c>
      <c r="K8" s="116" t="s">
        <v>173</v>
      </c>
      <c r="L8" s="248" t="s">
        <v>167</v>
      </c>
      <c r="N8" s="153"/>
      <c r="O8" s="153"/>
      <c r="P8" s="153"/>
      <c r="R8" s="153"/>
      <c r="S8" s="153"/>
      <c r="T8" s="153"/>
    </row>
    <row r="9" spans="2:26" ht="15" thickBot="1" x14ac:dyDescent="0.35">
      <c r="H9" s="153"/>
      <c r="I9" s="153"/>
      <c r="K9" s="117" t="s">
        <v>175</v>
      </c>
      <c r="L9" s="72" t="s">
        <v>157</v>
      </c>
      <c r="N9" s="123" t="s">
        <v>247</v>
      </c>
      <c r="S9" s="126"/>
    </row>
    <row r="10" spans="2:26" x14ac:dyDescent="0.3">
      <c r="N10" s="110" t="s">
        <v>236</v>
      </c>
      <c r="O10" s="110" t="s">
        <v>0</v>
      </c>
      <c r="P10" s="125" t="s">
        <v>1</v>
      </c>
      <c r="Q10" s="110" t="s">
        <v>2</v>
      </c>
      <c r="R10" s="110" t="s">
        <v>106</v>
      </c>
      <c r="S10" s="141" t="s">
        <v>238</v>
      </c>
      <c r="T10" s="141" t="s">
        <v>249</v>
      </c>
      <c r="U10" s="141" t="s">
        <v>239</v>
      </c>
      <c r="V10" s="142" t="s">
        <v>252</v>
      </c>
      <c r="W10" s="110" t="s">
        <v>4</v>
      </c>
    </row>
    <row r="11" spans="2:26" x14ac:dyDescent="0.3">
      <c r="B11" s="107" t="s">
        <v>245</v>
      </c>
      <c r="C11" s="107" t="s">
        <v>236</v>
      </c>
      <c r="D11" s="2" t="s">
        <v>0</v>
      </c>
      <c r="E11" s="2" t="s">
        <v>1</v>
      </c>
      <c r="F11" s="2" t="s">
        <v>3</v>
      </c>
      <c r="G11" s="2" t="s">
        <v>4</v>
      </c>
      <c r="H11" s="2" t="s">
        <v>174</v>
      </c>
      <c r="I11" s="2" t="s">
        <v>176</v>
      </c>
      <c r="N11" s="93" cm="1">
        <f t="array" ref="N11:Z14">_xlfn._xlws.FILTER(tbl_spese_compilazione[],((tbl_spese_compilazione[Categoria]="rimborso")*(tbl_spese_compilazione[Rimborso tot]=0))+(tbl_spese_compilazione[Rimborso]="si"))</f>
        <v>93</v>
      </c>
      <c r="O11" s="121">
        <v>45943</v>
      </c>
      <c r="P11" s="31" t="str">
        <v>ottobre</v>
      </c>
      <c r="Q11" s="31" t="str">
        <v>rimborso</v>
      </c>
      <c r="R11" s="31" t="str">
        <v>lavoro</v>
      </c>
      <c r="S11" s="122">
        <v>22.4</v>
      </c>
      <c r="T11" s="122">
        <v>0</v>
      </c>
      <c r="U11" s="122">
        <v>22.4</v>
      </c>
      <c r="V11" s="122">
        <v>0</v>
      </c>
      <c r="W11" s="146">
        <v>0</v>
      </c>
      <c r="X11" s="1" t="str">
        <v>brindiamo bar</v>
      </c>
      <c r="Y11" s="1" t="str">
        <v>revolut</v>
      </c>
      <c r="Z11" s="1" t="str">
        <v>Felice</v>
      </c>
    </row>
    <row r="12" spans="2:26" x14ac:dyDescent="0.3">
      <c r="B12" s="245">
        <v>55</v>
      </c>
      <c r="C12" s="245">
        <v>75</v>
      </c>
      <c r="D12" s="231">
        <v>45937</v>
      </c>
      <c r="E12" s="210" t="s">
        <v>15</v>
      </c>
      <c r="F12" s="213">
        <v>45</v>
      </c>
      <c r="G12" s="232" t="s">
        <v>304</v>
      </c>
      <c r="H12" s="74" t="s">
        <v>167</v>
      </c>
      <c r="I12" s="74" t="s">
        <v>157</v>
      </c>
      <c r="N12" s="93">
        <v>92</v>
      </c>
      <c r="O12" s="121">
        <v>45943</v>
      </c>
      <c r="P12" s="31" t="str">
        <v>ottobre</v>
      </c>
      <c r="Q12" s="31" t="str">
        <v>banca</v>
      </c>
      <c r="R12" s="31" t="str">
        <v>finanziamento/prestito</v>
      </c>
      <c r="S12" s="122">
        <v>250</v>
      </c>
      <c r="T12" s="122">
        <v>0</v>
      </c>
      <c r="U12" s="122">
        <v>250</v>
      </c>
      <c r="V12" s="122">
        <v>0</v>
      </c>
      <c r="W12" s="146" t="str">
        <v>si</v>
      </c>
      <c r="X12" s="1" t="str">
        <v>Pasquale</v>
      </c>
      <c r="Y12" s="1" t="str">
        <v>bnl</v>
      </c>
      <c r="Z12" s="1" t="str">
        <v>Felice</v>
      </c>
    </row>
    <row r="13" spans="2:26" x14ac:dyDescent="0.3">
      <c r="B13" s="245">
        <v>54</v>
      </c>
      <c r="C13" s="245">
        <v>87</v>
      </c>
      <c r="D13" s="231">
        <v>45941</v>
      </c>
      <c r="E13" s="210" t="s">
        <v>15</v>
      </c>
      <c r="F13" s="213">
        <v>25</v>
      </c>
      <c r="G13" s="232" t="s">
        <v>254</v>
      </c>
      <c r="H13" s="74" t="s">
        <v>169</v>
      </c>
      <c r="I13" s="74" t="s">
        <v>157</v>
      </c>
      <c r="L13" s="91"/>
      <c r="N13" s="93">
        <v>82</v>
      </c>
      <c r="O13" s="121">
        <v>45939</v>
      </c>
      <c r="P13" s="31" t="str">
        <v>ottobre</v>
      </c>
      <c r="Q13" s="31" t="str">
        <v>rimborso</v>
      </c>
      <c r="R13" s="31" t="str">
        <v>lavoro</v>
      </c>
      <c r="S13" s="122">
        <v>10</v>
      </c>
      <c r="T13" s="122">
        <v>0</v>
      </c>
      <c r="U13" s="122">
        <v>10</v>
      </c>
      <c r="V13" s="122">
        <v>0</v>
      </c>
      <c r="W13" s="146">
        <v>0</v>
      </c>
      <c r="X13" s="1" t="str">
        <v>brindiamo bar</v>
      </c>
      <c r="Y13" s="1" t="str">
        <v>revolut</v>
      </c>
      <c r="Z13" s="1" t="str">
        <v>Felice</v>
      </c>
    </row>
    <row r="14" spans="2:26" x14ac:dyDescent="0.3">
      <c r="B14" s="245">
        <v>53</v>
      </c>
      <c r="C14" s="245">
        <v>87</v>
      </c>
      <c r="D14" s="231">
        <v>45941</v>
      </c>
      <c r="E14" s="210" t="s">
        <v>15</v>
      </c>
      <c r="F14" s="213">
        <v>25</v>
      </c>
      <c r="G14" s="232" t="s">
        <v>275</v>
      </c>
      <c r="H14" s="74" t="s">
        <v>167</v>
      </c>
      <c r="I14" s="74" t="s">
        <v>157</v>
      </c>
      <c r="N14" s="93">
        <v>78</v>
      </c>
      <c r="O14" s="121">
        <v>45938</v>
      </c>
      <c r="P14" s="31" t="str">
        <v>ottobre</v>
      </c>
      <c r="Q14" s="31" t="str">
        <v>rimborso</v>
      </c>
      <c r="R14" s="31" t="str">
        <v>lavoro</v>
      </c>
      <c r="S14" s="122">
        <v>11</v>
      </c>
      <c r="T14" s="122">
        <v>0</v>
      </c>
      <c r="U14" s="122">
        <v>11</v>
      </c>
      <c r="V14" s="122">
        <v>0</v>
      </c>
      <c r="W14" s="146">
        <v>0</v>
      </c>
      <c r="X14" s="1" t="str">
        <v>brindiamo bar</v>
      </c>
      <c r="Y14" s="1" t="str">
        <v>revolut</v>
      </c>
      <c r="Z14" s="1" t="str">
        <v>Felice</v>
      </c>
    </row>
    <row r="15" spans="2:26" x14ac:dyDescent="0.3">
      <c r="B15" s="245">
        <v>52</v>
      </c>
      <c r="C15" s="245">
        <v>87</v>
      </c>
      <c r="D15" s="231">
        <v>45941</v>
      </c>
      <c r="E15" s="210" t="s">
        <v>15</v>
      </c>
      <c r="F15" s="213">
        <v>50</v>
      </c>
      <c r="G15" s="232" t="s">
        <v>299</v>
      </c>
      <c r="H15" s="74" t="s">
        <v>167</v>
      </c>
      <c r="I15" s="74" t="s">
        <v>157</v>
      </c>
      <c r="N15" s="93"/>
      <c r="O15" s="121"/>
      <c r="P15" s="31"/>
      <c r="Q15" s="31"/>
      <c r="R15" s="31"/>
      <c r="S15" s="122"/>
      <c r="T15" s="122"/>
      <c r="U15" s="122"/>
      <c r="V15" s="122"/>
      <c r="W15" s="146"/>
    </row>
    <row r="16" spans="2:26" x14ac:dyDescent="0.3">
      <c r="B16" s="245">
        <v>51</v>
      </c>
      <c r="C16" s="245">
        <v>87</v>
      </c>
      <c r="D16" s="231">
        <v>45941</v>
      </c>
      <c r="E16" s="210" t="s">
        <v>15</v>
      </c>
      <c r="F16" s="213">
        <v>27</v>
      </c>
      <c r="G16" s="232" t="s">
        <v>266</v>
      </c>
      <c r="H16" s="74" t="s">
        <v>167</v>
      </c>
      <c r="I16" s="74" t="s">
        <v>157</v>
      </c>
      <c r="K16" s="91"/>
      <c r="N16" s="93"/>
      <c r="O16" s="121"/>
      <c r="P16" s="31"/>
      <c r="Q16" s="31"/>
      <c r="R16" s="31"/>
      <c r="S16" s="122"/>
      <c r="T16" s="122"/>
      <c r="U16" s="122"/>
      <c r="V16" s="122"/>
      <c r="W16" s="146"/>
    </row>
    <row r="17" spans="2:23" x14ac:dyDescent="0.3">
      <c r="B17" s="74">
        <v>50</v>
      </c>
      <c r="C17" s="74">
        <v>83</v>
      </c>
      <c r="D17" s="175">
        <v>45939</v>
      </c>
      <c r="E17" s="172" t="s">
        <v>15</v>
      </c>
      <c r="F17" s="177">
        <v>18</v>
      </c>
      <c r="G17" s="171" t="s">
        <v>254</v>
      </c>
      <c r="H17" s="74" t="s">
        <v>169</v>
      </c>
      <c r="I17" s="74" t="s">
        <v>157</v>
      </c>
      <c r="K17" s="178"/>
      <c r="L17" s="126"/>
      <c r="N17" s="93"/>
      <c r="O17" s="121"/>
      <c r="P17" s="31"/>
      <c r="Q17" s="31"/>
      <c r="R17" s="31"/>
      <c r="S17" s="122"/>
      <c r="T17" s="122"/>
      <c r="U17" s="122"/>
      <c r="V17" s="122"/>
      <c r="W17" s="146"/>
    </row>
    <row r="18" spans="2:23" x14ac:dyDescent="0.3">
      <c r="B18" s="74">
        <v>49</v>
      </c>
      <c r="C18" s="74">
        <v>59</v>
      </c>
      <c r="D18" s="175">
        <v>45929</v>
      </c>
      <c r="E18" s="172" t="s">
        <v>14</v>
      </c>
      <c r="F18" s="177">
        <v>10</v>
      </c>
      <c r="G18" s="171" t="s">
        <v>283</v>
      </c>
      <c r="H18" s="74" t="s">
        <v>168</v>
      </c>
      <c r="I18" s="74" t="s">
        <v>157</v>
      </c>
      <c r="K18" s="179"/>
      <c r="N18" s="93"/>
      <c r="O18" s="121"/>
      <c r="P18" s="31"/>
      <c r="Q18" s="31"/>
      <c r="R18" s="31"/>
      <c r="S18" s="122"/>
      <c r="T18" s="122"/>
      <c r="U18" s="122"/>
      <c r="V18" s="122"/>
      <c r="W18" s="146"/>
    </row>
    <row r="19" spans="2:23" x14ac:dyDescent="0.3">
      <c r="B19" s="74">
        <v>48</v>
      </c>
      <c r="C19" s="74">
        <v>53</v>
      </c>
      <c r="D19" s="175">
        <v>45925</v>
      </c>
      <c r="E19" s="172" t="s">
        <v>14</v>
      </c>
      <c r="F19" s="177">
        <v>27.2</v>
      </c>
      <c r="G19" s="171" t="s">
        <v>283</v>
      </c>
      <c r="H19" s="74" t="s">
        <v>168</v>
      </c>
      <c r="I19" s="74" t="s">
        <v>157</v>
      </c>
      <c r="K19" s="178"/>
      <c r="N19" s="93"/>
      <c r="O19" s="121"/>
      <c r="P19" s="31"/>
      <c r="Q19" s="31"/>
      <c r="R19" s="31"/>
      <c r="S19" s="122"/>
      <c r="T19" s="122"/>
      <c r="U19" s="122"/>
      <c r="V19" s="122"/>
      <c r="W19" s="146"/>
    </row>
    <row r="20" spans="2:23" x14ac:dyDescent="0.3">
      <c r="B20" s="74">
        <v>47</v>
      </c>
      <c r="C20" s="74">
        <v>52</v>
      </c>
      <c r="D20" s="175">
        <v>45924</v>
      </c>
      <c r="E20" s="172" t="s">
        <v>14</v>
      </c>
      <c r="F20" s="177">
        <v>11</v>
      </c>
      <c r="G20" s="171" t="s">
        <v>283</v>
      </c>
      <c r="H20" s="74" t="s">
        <v>168</v>
      </c>
      <c r="I20" s="74" t="s">
        <v>157</v>
      </c>
      <c r="K20" s="179"/>
      <c r="N20" s="93"/>
      <c r="O20" s="121"/>
      <c r="P20" s="31"/>
      <c r="Q20" s="31"/>
      <c r="R20" s="31"/>
      <c r="S20" s="122"/>
      <c r="T20" s="122"/>
      <c r="U20" s="122"/>
      <c r="V20" s="122"/>
      <c r="W20" s="146"/>
    </row>
    <row r="21" spans="2:23" x14ac:dyDescent="0.3">
      <c r="B21" s="74">
        <v>46</v>
      </c>
      <c r="C21" s="74">
        <v>47</v>
      </c>
      <c r="D21" s="175">
        <v>45923</v>
      </c>
      <c r="E21" s="172" t="s">
        <v>14</v>
      </c>
      <c r="F21" s="177">
        <v>10</v>
      </c>
      <c r="G21" s="171" t="s">
        <v>283</v>
      </c>
      <c r="H21" s="74" t="s">
        <v>168</v>
      </c>
      <c r="I21" s="74" t="s">
        <v>157</v>
      </c>
      <c r="K21" s="179"/>
      <c r="N21" s="93"/>
      <c r="O21" s="121"/>
      <c r="P21" s="31"/>
      <c r="Q21" s="31"/>
      <c r="R21" s="31"/>
      <c r="S21" s="122"/>
      <c r="T21" s="122"/>
      <c r="U21" s="122"/>
      <c r="V21" s="122"/>
      <c r="W21" s="146"/>
    </row>
    <row r="22" spans="2:23" x14ac:dyDescent="0.3">
      <c r="B22" s="74">
        <v>45</v>
      </c>
      <c r="C22" s="74">
        <v>37</v>
      </c>
      <c r="D22" s="175">
        <v>45917</v>
      </c>
      <c r="E22" s="172" t="s">
        <v>14</v>
      </c>
      <c r="F22" s="177">
        <v>13</v>
      </c>
      <c r="G22" s="171" t="s">
        <v>283</v>
      </c>
      <c r="H22" s="74" t="s">
        <v>168</v>
      </c>
      <c r="I22" s="74" t="s">
        <v>157</v>
      </c>
      <c r="K22" s="179"/>
      <c r="N22" s="93"/>
      <c r="O22" s="121"/>
      <c r="P22" s="31"/>
      <c r="Q22" s="31"/>
      <c r="R22" s="31"/>
      <c r="S22" s="122"/>
      <c r="T22" s="122"/>
      <c r="U22" s="122"/>
      <c r="V22" s="122"/>
      <c r="W22" s="146"/>
    </row>
    <row r="23" spans="2:23" x14ac:dyDescent="0.3">
      <c r="B23" s="74">
        <v>44</v>
      </c>
      <c r="C23" s="74">
        <v>34</v>
      </c>
      <c r="D23" s="175">
        <v>45916</v>
      </c>
      <c r="E23" s="172" t="s">
        <v>14</v>
      </c>
      <c r="F23" s="177">
        <v>10</v>
      </c>
      <c r="G23" s="171" t="s">
        <v>283</v>
      </c>
      <c r="H23" s="74" t="s">
        <v>168</v>
      </c>
      <c r="I23" s="74" t="s">
        <v>157</v>
      </c>
      <c r="K23" s="179"/>
      <c r="N23" s="93"/>
      <c r="O23" s="121"/>
      <c r="P23" s="31"/>
      <c r="Q23" s="31"/>
      <c r="R23" s="31"/>
      <c r="S23" s="122"/>
      <c r="T23" s="122"/>
      <c r="U23" s="122"/>
      <c r="V23" s="122"/>
      <c r="W23" s="146"/>
    </row>
    <row r="24" spans="2:23" x14ac:dyDescent="0.3">
      <c r="B24" s="74">
        <v>43</v>
      </c>
      <c r="C24" s="74">
        <v>14</v>
      </c>
      <c r="D24" s="175">
        <v>45905</v>
      </c>
      <c r="E24" s="172" t="s">
        <v>14</v>
      </c>
      <c r="F24" s="177">
        <v>6.5</v>
      </c>
      <c r="G24" s="171" t="s">
        <v>283</v>
      </c>
      <c r="H24" s="74" t="s">
        <v>168</v>
      </c>
      <c r="I24" s="74" t="s">
        <v>157</v>
      </c>
      <c r="K24" s="179"/>
      <c r="N24" s="93"/>
      <c r="O24" s="121"/>
      <c r="P24" s="31"/>
      <c r="Q24" s="31"/>
      <c r="R24" s="31"/>
      <c r="S24" s="122"/>
      <c r="T24" s="122"/>
      <c r="U24" s="122"/>
      <c r="V24" s="122"/>
    </row>
    <row r="25" spans="2:23" x14ac:dyDescent="0.3">
      <c r="B25" s="74">
        <v>42</v>
      </c>
      <c r="C25" s="74">
        <v>13</v>
      </c>
      <c r="D25" s="175">
        <v>45902</v>
      </c>
      <c r="E25" s="172" t="s">
        <v>14</v>
      </c>
      <c r="F25" s="177">
        <v>23</v>
      </c>
      <c r="G25" s="171" t="s">
        <v>283</v>
      </c>
      <c r="H25" s="74" t="s">
        <v>168</v>
      </c>
      <c r="I25" s="74" t="s">
        <v>157</v>
      </c>
      <c r="N25" s="93"/>
      <c r="O25" s="121"/>
      <c r="P25" s="31"/>
      <c r="Q25" s="31"/>
      <c r="R25" s="31"/>
      <c r="S25" s="122"/>
      <c r="T25" s="122"/>
      <c r="U25" s="122"/>
      <c r="V25" s="122"/>
    </row>
    <row r="26" spans="2:23" x14ac:dyDescent="0.3">
      <c r="B26" s="74">
        <v>41</v>
      </c>
      <c r="C26" s="74">
        <v>81</v>
      </c>
      <c r="D26" s="175">
        <v>45938</v>
      </c>
      <c r="E26" s="172" t="s">
        <v>15</v>
      </c>
      <c r="F26" s="177">
        <v>10</v>
      </c>
      <c r="G26" s="171" t="s">
        <v>254</v>
      </c>
      <c r="H26" s="74" t="s">
        <v>169</v>
      </c>
      <c r="I26" s="74" t="s">
        <v>157</v>
      </c>
      <c r="K26" s="91"/>
      <c r="N26" s="93"/>
      <c r="O26" s="121"/>
      <c r="P26" s="31"/>
      <c r="Q26" s="31"/>
      <c r="R26" s="31"/>
      <c r="S26" s="122"/>
      <c r="T26" s="122"/>
      <c r="U26" s="122"/>
      <c r="V26" s="122"/>
    </row>
    <row r="27" spans="2:23" x14ac:dyDescent="0.3">
      <c r="B27" s="74">
        <v>40</v>
      </c>
      <c r="C27" s="74">
        <v>79</v>
      </c>
      <c r="D27" s="175">
        <v>45936</v>
      </c>
      <c r="E27" s="172" t="s">
        <v>15</v>
      </c>
      <c r="F27" s="177">
        <v>25</v>
      </c>
      <c r="G27" s="171" t="s">
        <v>254</v>
      </c>
      <c r="H27" s="74" t="s">
        <v>169</v>
      </c>
      <c r="I27" s="74" t="s">
        <v>157</v>
      </c>
      <c r="N27" s="93"/>
      <c r="O27" s="135"/>
      <c r="S27" s="91"/>
      <c r="T27" s="91"/>
      <c r="U27" s="91"/>
      <c r="V27" s="140"/>
    </row>
    <row r="28" spans="2:23" x14ac:dyDescent="0.3">
      <c r="B28" s="74">
        <v>39</v>
      </c>
      <c r="C28" s="74">
        <v>25</v>
      </c>
      <c r="D28" s="130">
        <v>45912</v>
      </c>
      <c r="E28" s="131" t="s">
        <v>14</v>
      </c>
      <c r="F28" s="132">
        <v>20</v>
      </c>
      <c r="G28" s="133" t="s">
        <v>267</v>
      </c>
      <c r="H28" s="74" t="s">
        <v>167</v>
      </c>
      <c r="I28" s="74" t="s">
        <v>157</v>
      </c>
      <c r="K28" s="126"/>
      <c r="L28" s="126"/>
      <c r="N28" s="93"/>
      <c r="O28" s="135"/>
      <c r="S28" s="91"/>
      <c r="T28" s="91"/>
      <c r="U28" s="91"/>
      <c r="V28" s="140"/>
    </row>
    <row r="29" spans="2:23" x14ac:dyDescent="0.3">
      <c r="B29" s="74">
        <v>38</v>
      </c>
      <c r="C29" s="74">
        <v>73</v>
      </c>
      <c r="D29" s="130">
        <v>45935</v>
      </c>
      <c r="E29" s="131" t="s">
        <v>15</v>
      </c>
      <c r="F29" s="132">
        <v>40</v>
      </c>
      <c r="G29" s="133" t="s">
        <v>254</v>
      </c>
      <c r="H29" s="74" t="s">
        <v>167</v>
      </c>
      <c r="I29" s="74" t="s">
        <v>157</v>
      </c>
      <c r="N29" s="93"/>
      <c r="O29" s="135"/>
      <c r="S29" s="91"/>
      <c r="T29" s="91"/>
      <c r="U29" s="91"/>
      <c r="V29" s="140"/>
    </row>
    <row r="30" spans="2:23" x14ac:dyDescent="0.3">
      <c r="B30" s="74">
        <v>37</v>
      </c>
      <c r="C30" s="74">
        <v>72</v>
      </c>
      <c r="D30" s="130">
        <v>45935</v>
      </c>
      <c r="E30" s="131" t="s">
        <v>15</v>
      </c>
      <c r="F30" s="132">
        <v>5</v>
      </c>
      <c r="G30" s="133" t="s">
        <v>266</v>
      </c>
      <c r="H30" s="74" t="s">
        <v>167</v>
      </c>
      <c r="I30" s="74" t="s">
        <v>157</v>
      </c>
      <c r="K30" s="91"/>
      <c r="N30" s="136"/>
      <c r="O30" s="135"/>
      <c r="S30" s="91"/>
      <c r="T30" s="91"/>
      <c r="U30" s="91"/>
      <c r="V30" s="140"/>
    </row>
    <row r="31" spans="2:23" x14ac:dyDescent="0.3">
      <c r="B31" s="74">
        <v>36</v>
      </c>
      <c r="C31" s="74">
        <v>71</v>
      </c>
      <c r="D31" s="130">
        <v>45934</v>
      </c>
      <c r="E31" s="131" t="s">
        <v>15</v>
      </c>
      <c r="F31" s="132">
        <v>4.3</v>
      </c>
      <c r="G31" s="133" t="s">
        <v>267</v>
      </c>
      <c r="H31" s="74" t="s">
        <v>167</v>
      </c>
      <c r="I31" s="74" t="s">
        <v>157</v>
      </c>
      <c r="N31" s="136"/>
      <c r="O31" s="135"/>
      <c r="S31" s="91"/>
      <c r="T31" s="91"/>
      <c r="U31" s="91"/>
      <c r="V31" s="140"/>
    </row>
    <row r="32" spans="2:23" x14ac:dyDescent="0.3">
      <c r="B32" s="74">
        <v>35</v>
      </c>
      <c r="C32" s="74">
        <v>71</v>
      </c>
      <c r="D32" s="130">
        <v>45934</v>
      </c>
      <c r="E32" s="131" t="s">
        <v>15</v>
      </c>
      <c r="F32" s="132">
        <v>11</v>
      </c>
      <c r="G32" s="133" t="s">
        <v>266</v>
      </c>
      <c r="H32" s="74" t="s">
        <v>251</v>
      </c>
      <c r="I32" s="74" t="s">
        <v>157</v>
      </c>
      <c r="N32" s="136"/>
      <c r="O32" s="135"/>
      <c r="S32" s="91"/>
      <c r="T32" s="91"/>
      <c r="U32" s="91"/>
      <c r="V32" s="140"/>
    </row>
    <row r="33" spans="2:22" x14ac:dyDescent="0.3">
      <c r="B33" s="74">
        <v>34</v>
      </c>
      <c r="C33" s="74">
        <v>71</v>
      </c>
      <c r="D33" s="130">
        <v>45934</v>
      </c>
      <c r="E33" s="131" t="s">
        <v>15</v>
      </c>
      <c r="F33" s="132">
        <v>4.5</v>
      </c>
      <c r="G33" s="133" t="s">
        <v>275</v>
      </c>
      <c r="H33" s="74" t="s">
        <v>169</v>
      </c>
      <c r="I33" s="74" t="s">
        <v>157</v>
      </c>
      <c r="L33" s="91"/>
      <c r="N33" s="136"/>
      <c r="O33" s="135"/>
      <c r="S33" s="91"/>
      <c r="T33" s="91"/>
      <c r="U33" s="91"/>
      <c r="V33" s="140"/>
    </row>
    <row r="34" spans="2:22" x14ac:dyDescent="0.3">
      <c r="B34" s="74">
        <v>33</v>
      </c>
      <c r="C34" s="74">
        <v>68</v>
      </c>
      <c r="D34" s="130">
        <v>45934</v>
      </c>
      <c r="E34" s="131" t="s">
        <v>15</v>
      </c>
      <c r="F34" s="132">
        <v>10</v>
      </c>
      <c r="G34" s="133" t="s">
        <v>267</v>
      </c>
      <c r="H34" s="74" t="s">
        <v>169</v>
      </c>
      <c r="I34" s="74" t="s">
        <v>157</v>
      </c>
      <c r="L34" s="91"/>
      <c r="N34" s="136"/>
      <c r="O34" s="135"/>
      <c r="S34" s="91"/>
      <c r="T34" s="91"/>
      <c r="U34" s="91"/>
      <c r="V34" s="140"/>
    </row>
    <row r="35" spans="2:22" x14ac:dyDescent="0.3">
      <c r="B35" s="74">
        <v>32</v>
      </c>
      <c r="C35" s="74">
        <v>64</v>
      </c>
      <c r="D35" s="130">
        <v>45930</v>
      </c>
      <c r="E35" s="131" t="s">
        <v>14</v>
      </c>
      <c r="F35" s="132">
        <v>73</v>
      </c>
      <c r="G35" s="133" t="s">
        <v>269</v>
      </c>
      <c r="H35" s="74" t="s">
        <v>169</v>
      </c>
      <c r="I35" s="74" t="s">
        <v>157</v>
      </c>
      <c r="N35" s="93"/>
      <c r="O35" s="135"/>
      <c r="S35" s="91"/>
      <c r="T35" s="91"/>
      <c r="U35" s="91"/>
      <c r="V35" s="140"/>
    </row>
    <row r="36" spans="2:22" x14ac:dyDescent="0.3">
      <c r="B36" s="74">
        <v>31</v>
      </c>
      <c r="C36" s="74">
        <v>65</v>
      </c>
      <c r="D36" s="130">
        <v>45931</v>
      </c>
      <c r="E36" s="131" t="s">
        <v>15</v>
      </c>
      <c r="F36" s="132">
        <v>60</v>
      </c>
      <c r="G36" s="133" t="s">
        <v>254</v>
      </c>
      <c r="H36" s="74" t="s">
        <v>169</v>
      </c>
      <c r="I36" s="74" t="s">
        <v>157</v>
      </c>
      <c r="K36" s="91"/>
      <c r="L36" s="137"/>
      <c r="N36" s="93"/>
      <c r="O36" s="134"/>
      <c r="S36" s="91"/>
      <c r="T36" s="91"/>
      <c r="U36" s="91"/>
      <c r="V36" s="140"/>
    </row>
    <row r="37" spans="2:22" x14ac:dyDescent="0.3">
      <c r="B37" s="74">
        <v>30</v>
      </c>
      <c r="C37" s="74">
        <v>48</v>
      </c>
      <c r="D37" s="130">
        <v>45922</v>
      </c>
      <c r="E37" s="131" t="s">
        <v>14</v>
      </c>
      <c r="F37" s="132">
        <v>10</v>
      </c>
      <c r="G37" s="133"/>
      <c r="H37" s="74" t="s">
        <v>167</v>
      </c>
      <c r="I37" s="74" t="s">
        <v>157</v>
      </c>
      <c r="N37" s="93"/>
      <c r="O37" s="134"/>
      <c r="S37" s="91"/>
      <c r="T37" s="91"/>
      <c r="U37" s="91"/>
      <c r="V37" s="140"/>
    </row>
    <row r="38" spans="2:22" x14ac:dyDescent="0.3">
      <c r="B38" s="74">
        <v>29</v>
      </c>
      <c r="C38" s="74">
        <v>56</v>
      </c>
      <c r="D38" s="130">
        <v>45928</v>
      </c>
      <c r="E38" s="131" t="s">
        <v>14</v>
      </c>
      <c r="F38" s="132">
        <v>10</v>
      </c>
      <c r="G38" s="133" t="s">
        <v>267</v>
      </c>
      <c r="H38" s="74" t="s">
        <v>167</v>
      </c>
      <c r="I38" s="74" t="s">
        <v>157</v>
      </c>
      <c r="N38" s="93"/>
      <c r="O38" s="134"/>
      <c r="S38" s="91"/>
      <c r="T38" s="91"/>
      <c r="U38" s="91"/>
      <c r="V38" s="140"/>
    </row>
    <row r="39" spans="2:22" x14ac:dyDescent="0.3">
      <c r="B39" s="74">
        <v>28</v>
      </c>
      <c r="C39" s="74">
        <v>55</v>
      </c>
      <c r="D39" s="130">
        <v>45928</v>
      </c>
      <c r="E39" s="131" t="s">
        <v>14</v>
      </c>
      <c r="F39" s="132">
        <v>60</v>
      </c>
      <c r="G39" s="133" t="s">
        <v>268</v>
      </c>
      <c r="H39" s="74" t="s">
        <v>167</v>
      </c>
      <c r="I39" s="74" t="s">
        <v>157</v>
      </c>
      <c r="N39" s="93"/>
      <c r="O39" s="134"/>
      <c r="S39" s="91"/>
      <c r="T39" s="91"/>
      <c r="U39" s="91"/>
      <c r="V39" s="140"/>
    </row>
    <row r="40" spans="2:22" x14ac:dyDescent="0.3">
      <c r="B40" s="74">
        <v>27</v>
      </c>
      <c r="C40" s="74">
        <v>54</v>
      </c>
      <c r="D40" s="130">
        <v>45927</v>
      </c>
      <c r="E40" s="131" t="s">
        <v>14</v>
      </c>
      <c r="F40" s="132">
        <v>20</v>
      </c>
      <c r="G40" s="133" t="s">
        <v>254</v>
      </c>
      <c r="H40" s="74" t="s">
        <v>169</v>
      </c>
      <c r="I40" s="74" t="s">
        <v>157</v>
      </c>
      <c r="N40" s="93"/>
      <c r="O40" s="134"/>
      <c r="S40" s="91"/>
      <c r="T40" s="138"/>
      <c r="U40" s="138"/>
      <c r="V40" s="140"/>
    </row>
    <row r="41" spans="2:22" x14ac:dyDescent="0.3">
      <c r="B41" s="74">
        <v>26</v>
      </c>
      <c r="C41" s="74">
        <v>48</v>
      </c>
      <c r="D41" s="130">
        <v>45922</v>
      </c>
      <c r="E41" s="131" t="s">
        <v>14</v>
      </c>
      <c r="F41" s="132">
        <v>420</v>
      </c>
      <c r="G41" s="133" t="s">
        <v>266</v>
      </c>
      <c r="H41" s="74" t="s">
        <v>168</v>
      </c>
      <c r="I41" s="74" t="s">
        <v>157</v>
      </c>
      <c r="O41" s="134"/>
      <c r="S41" s="91"/>
      <c r="T41" s="139"/>
      <c r="U41" s="139"/>
      <c r="V41" s="140"/>
    </row>
    <row r="42" spans="2:22" x14ac:dyDescent="0.3">
      <c r="B42" s="74">
        <v>25</v>
      </c>
      <c r="C42" s="74">
        <v>48</v>
      </c>
      <c r="D42" s="130">
        <v>45922</v>
      </c>
      <c r="E42" s="131" t="s">
        <v>14</v>
      </c>
      <c r="F42" s="132">
        <v>400</v>
      </c>
      <c r="G42" s="133" t="s">
        <v>267</v>
      </c>
      <c r="H42" s="74" t="s">
        <v>169</v>
      </c>
      <c r="I42" s="74" t="s">
        <v>157</v>
      </c>
      <c r="O42" s="134"/>
      <c r="S42" s="91"/>
      <c r="T42" s="139"/>
      <c r="U42" s="139"/>
      <c r="V42" s="140"/>
    </row>
    <row r="43" spans="2:22" x14ac:dyDescent="0.3">
      <c r="B43" s="74">
        <v>24</v>
      </c>
      <c r="C43" s="74">
        <v>45</v>
      </c>
      <c r="D43" s="130">
        <v>45921</v>
      </c>
      <c r="E43" s="131" t="s">
        <v>14</v>
      </c>
      <c r="F43" s="132">
        <v>45.5</v>
      </c>
      <c r="G43" s="133" t="s">
        <v>254</v>
      </c>
      <c r="H43" s="74" t="s">
        <v>169</v>
      </c>
      <c r="I43" s="74" t="s">
        <v>157</v>
      </c>
      <c r="O43" s="134"/>
      <c r="S43" s="91"/>
      <c r="T43" s="139"/>
      <c r="U43" s="139"/>
      <c r="V43" s="140"/>
    </row>
    <row r="44" spans="2:22" x14ac:dyDescent="0.3">
      <c r="B44" s="74">
        <v>23</v>
      </c>
      <c r="C44" s="74">
        <v>43</v>
      </c>
      <c r="D44" s="130">
        <v>45920</v>
      </c>
      <c r="E44" s="131" t="s">
        <v>14</v>
      </c>
      <c r="F44" s="132">
        <v>2.98</v>
      </c>
      <c r="G44" s="133" t="s">
        <v>254</v>
      </c>
      <c r="H44" s="74" t="s">
        <v>169</v>
      </c>
      <c r="I44" s="74" t="s">
        <v>157</v>
      </c>
      <c r="O44" s="134"/>
      <c r="S44" s="91"/>
      <c r="T44" s="139"/>
      <c r="U44" s="139"/>
      <c r="V44" s="140"/>
    </row>
    <row r="45" spans="2:22" x14ac:dyDescent="0.3">
      <c r="B45" s="74">
        <v>22</v>
      </c>
      <c r="C45" s="74">
        <v>42</v>
      </c>
      <c r="D45" s="130">
        <v>45920</v>
      </c>
      <c r="E45" s="131" t="s">
        <v>14</v>
      </c>
      <c r="F45" s="132">
        <v>7.5</v>
      </c>
      <c r="G45" s="133" t="s">
        <v>254</v>
      </c>
      <c r="H45" s="74" t="s">
        <v>169</v>
      </c>
      <c r="I45" s="74" t="s">
        <v>157</v>
      </c>
      <c r="O45" s="134"/>
      <c r="S45" s="91"/>
      <c r="T45" s="139"/>
      <c r="U45" s="139"/>
      <c r="V45" s="140"/>
    </row>
    <row r="46" spans="2:22" x14ac:dyDescent="0.3">
      <c r="B46" s="74">
        <v>21</v>
      </c>
      <c r="C46" s="74">
        <v>41</v>
      </c>
      <c r="D46" s="130">
        <v>45920</v>
      </c>
      <c r="E46" s="131" t="s">
        <v>14</v>
      </c>
      <c r="F46" s="132">
        <v>17.5</v>
      </c>
      <c r="G46" s="133" t="s">
        <v>254</v>
      </c>
      <c r="H46" s="74" t="s">
        <v>169</v>
      </c>
      <c r="I46" s="74" t="s">
        <v>157</v>
      </c>
      <c r="O46" s="134"/>
      <c r="S46" s="91"/>
      <c r="T46" s="139"/>
      <c r="U46" s="139"/>
      <c r="V46" s="140"/>
    </row>
    <row r="47" spans="2:22" x14ac:dyDescent="0.3">
      <c r="B47" s="74">
        <v>20</v>
      </c>
      <c r="C47" s="74">
        <v>40</v>
      </c>
      <c r="D47" s="130">
        <v>37518</v>
      </c>
      <c r="E47" s="131" t="s">
        <v>14</v>
      </c>
      <c r="F47" s="132">
        <v>55.26</v>
      </c>
      <c r="G47" s="133" t="s">
        <v>254</v>
      </c>
      <c r="H47" s="74" t="s">
        <v>169</v>
      </c>
      <c r="I47" s="74" t="s">
        <v>157</v>
      </c>
      <c r="O47" s="134"/>
      <c r="S47" s="91"/>
      <c r="T47" s="91"/>
      <c r="U47" s="91"/>
      <c r="V47" s="140"/>
    </row>
    <row r="48" spans="2:22" x14ac:dyDescent="0.3">
      <c r="B48" s="74">
        <v>19</v>
      </c>
      <c r="C48" s="74">
        <v>39</v>
      </c>
      <c r="D48" s="130">
        <v>37518</v>
      </c>
      <c r="E48" s="131" t="s">
        <v>14</v>
      </c>
      <c r="F48" s="132">
        <v>10</v>
      </c>
      <c r="G48" s="133" t="s">
        <v>254</v>
      </c>
      <c r="H48" s="74" t="s">
        <v>169</v>
      </c>
      <c r="I48" s="74" t="s">
        <v>157</v>
      </c>
      <c r="O48" s="134"/>
      <c r="S48" s="91"/>
      <c r="T48" s="91"/>
      <c r="U48" s="91"/>
      <c r="V48" s="140"/>
    </row>
    <row r="49" spans="2:22" x14ac:dyDescent="0.3">
      <c r="B49" s="74">
        <v>18</v>
      </c>
      <c r="C49" s="74">
        <v>36</v>
      </c>
      <c r="D49" s="130">
        <v>45917</v>
      </c>
      <c r="E49" s="131" t="s">
        <v>14</v>
      </c>
      <c r="F49" s="132">
        <v>50</v>
      </c>
      <c r="G49" s="133"/>
      <c r="H49" s="74" t="s">
        <v>169</v>
      </c>
      <c r="I49" s="74" t="s">
        <v>157</v>
      </c>
      <c r="L49" s="120"/>
      <c r="O49" s="134"/>
      <c r="P49" s="91"/>
      <c r="Q49" s="91"/>
      <c r="R49" s="91"/>
      <c r="S49" s="91"/>
      <c r="T49" s="91"/>
      <c r="U49" s="91"/>
      <c r="V49" s="140"/>
    </row>
    <row r="50" spans="2:22" x14ac:dyDescent="0.3">
      <c r="B50" s="74">
        <v>17</v>
      </c>
      <c r="C50" s="74">
        <v>27</v>
      </c>
      <c r="D50" s="130">
        <v>45913</v>
      </c>
      <c r="E50" s="131" t="s">
        <v>14</v>
      </c>
      <c r="F50" s="132">
        <v>20</v>
      </c>
      <c r="G50" s="133"/>
      <c r="H50" s="74" t="s">
        <v>169</v>
      </c>
      <c r="I50" s="74" t="s">
        <v>157</v>
      </c>
      <c r="L50" s="120"/>
      <c r="O50" s="134"/>
      <c r="P50" s="91"/>
      <c r="Q50" s="91"/>
      <c r="R50" s="91"/>
      <c r="S50" s="91"/>
      <c r="T50" s="91"/>
      <c r="U50" s="91"/>
      <c r="V50" s="140"/>
    </row>
    <row r="51" spans="2:22" x14ac:dyDescent="0.3">
      <c r="B51" s="74">
        <v>16</v>
      </c>
      <c r="C51" s="74">
        <v>27</v>
      </c>
      <c r="D51" s="130">
        <v>45913</v>
      </c>
      <c r="E51" s="131" t="s">
        <v>14</v>
      </c>
      <c r="F51" s="132">
        <v>5</v>
      </c>
      <c r="G51" s="133"/>
      <c r="H51" s="74" t="s">
        <v>167</v>
      </c>
      <c r="I51" s="74" t="s">
        <v>157</v>
      </c>
      <c r="L51" s="142"/>
      <c r="M51" s="137"/>
      <c r="O51" s="134"/>
      <c r="P51" s="91"/>
      <c r="Q51" s="91"/>
      <c r="R51" s="91"/>
      <c r="S51" s="91"/>
      <c r="T51" s="91"/>
      <c r="U51" s="91"/>
      <c r="V51" s="140"/>
    </row>
    <row r="52" spans="2:22" x14ac:dyDescent="0.3">
      <c r="B52" s="74">
        <v>15</v>
      </c>
      <c r="C52" s="74">
        <v>27</v>
      </c>
      <c r="D52" s="130">
        <v>45913</v>
      </c>
      <c r="E52" s="131" t="s">
        <v>14</v>
      </c>
      <c r="F52" s="132">
        <v>12</v>
      </c>
      <c r="G52" s="133"/>
      <c r="H52" s="74" t="s">
        <v>167</v>
      </c>
      <c r="I52" s="74" t="s">
        <v>157</v>
      </c>
      <c r="L52" s="142"/>
      <c r="M52" s="137"/>
      <c r="O52" s="134"/>
      <c r="P52" s="91"/>
      <c r="Q52" s="91"/>
      <c r="R52" s="91"/>
      <c r="S52" s="91"/>
      <c r="T52" s="91"/>
      <c r="U52" s="91"/>
      <c r="V52" s="140"/>
    </row>
    <row r="53" spans="2:22" x14ac:dyDescent="0.3">
      <c r="B53" s="74">
        <v>14</v>
      </c>
      <c r="C53" s="74">
        <v>23</v>
      </c>
      <c r="D53" s="130">
        <v>45912</v>
      </c>
      <c r="E53" s="131" t="s">
        <v>14</v>
      </c>
      <c r="F53" s="132">
        <v>15</v>
      </c>
      <c r="G53" s="133" t="s">
        <v>254</v>
      </c>
      <c r="H53" s="74" t="s">
        <v>169</v>
      </c>
      <c r="I53" s="74" t="s">
        <v>157</v>
      </c>
      <c r="L53" s="161"/>
      <c r="M53" s="137"/>
      <c r="O53" s="134"/>
      <c r="P53" s="91"/>
      <c r="Q53" s="91"/>
      <c r="R53" s="91"/>
      <c r="S53" s="91"/>
      <c r="T53" s="91"/>
      <c r="U53" s="91"/>
      <c r="V53" s="140"/>
    </row>
    <row r="54" spans="2:22" x14ac:dyDescent="0.3">
      <c r="B54" s="74">
        <v>13</v>
      </c>
      <c r="C54" s="74">
        <v>18</v>
      </c>
      <c r="D54" s="130">
        <v>45909</v>
      </c>
      <c r="E54" s="131" t="s">
        <v>14</v>
      </c>
      <c r="F54" s="132">
        <v>22</v>
      </c>
      <c r="G54" s="133" t="s">
        <v>254</v>
      </c>
      <c r="H54" s="74" t="s">
        <v>169</v>
      </c>
      <c r="I54" s="74" t="s">
        <v>157</v>
      </c>
      <c r="L54" s="162"/>
      <c r="M54" s="137"/>
      <c r="O54" s="134"/>
      <c r="P54" s="91"/>
      <c r="Q54" s="91"/>
      <c r="R54" s="91"/>
      <c r="S54" s="91"/>
      <c r="T54" s="91"/>
      <c r="U54" s="91"/>
      <c r="V54" s="140"/>
    </row>
    <row r="55" spans="2:22" x14ac:dyDescent="0.3">
      <c r="B55" s="74">
        <v>12</v>
      </c>
      <c r="C55" s="74">
        <v>12</v>
      </c>
      <c r="D55" s="15">
        <v>45992</v>
      </c>
      <c r="E55" s="108" t="s">
        <v>7</v>
      </c>
      <c r="F55" s="36"/>
      <c r="G55" s="16"/>
      <c r="H55" s="74"/>
      <c r="I55" s="74"/>
      <c r="L55" s="160"/>
      <c r="M55" s="137"/>
      <c r="O55" s="134"/>
      <c r="P55" s="91"/>
      <c r="Q55" s="91"/>
      <c r="R55" s="91"/>
      <c r="S55" s="91"/>
      <c r="T55" s="91"/>
      <c r="U55" s="91"/>
      <c r="V55" s="140"/>
    </row>
    <row r="56" spans="2:22" x14ac:dyDescent="0.3">
      <c r="B56" s="74">
        <v>11</v>
      </c>
      <c r="C56" s="74">
        <v>11</v>
      </c>
      <c r="D56" s="15">
        <v>45962</v>
      </c>
      <c r="E56" s="108" t="s">
        <v>16</v>
      </c>
      <c r="F56" s="36"/>
      <c r="G56" s="16"/>
      <c r="H56" s="74"/>
      <c r="I56" s="74"/>
      <c r="L56" s="160"/>
      <c r="M56" s="137"/>
      <c r="O56" s="134"/>
      <c r="P56" s="91"/>
      <c r="Q56" s="91"/>
      <c r="R56" s="91"/>
      <c r="S56" s="91"/>
      <c r="T56" s="91"/>
      <c r="U56" s="91"/>
      <c r="V56" s="140"/>
    </row>
    <row r="57" spans="2:22" x14ac:dyDescent="0.3">
      <c r="B57" s="74">
        <v>10</v>
      </c>
      <c r="C57" s="74">
        <v>10</v>
      </c>
      <c r="D57" s="15">
        <v>45931</v>
      </c>
      <c r="E57" s="108" t="s">
        <v>15</v>
      </c>
      <c r="F57" s="36"/>
      <c r="G57" s="16"/>
      <c r="H57" s="74"/>
      <c r="I57" s="74"/>
      <c r="L57" s="160"/>
      <c r="M57" s="137"/>
      <c r="O57" s="134"/>
      <c r="P57" s="91"/>
      <c r="Q57" s="91"/>
      <c r="R57" s="91"/>
      <c r="S57" s="91"/>
      <c r="T57" s="91"/>
      <c r="U57" s="91"/>
      <c r="V57" s="140"/>
    </row>
    <row r="58" spans="2:22" x14ac:dyDescent="0.3">
      <c r="B58" s="74">
        <v>9</v>
      </c>
      <c r="C58" s="74">
        <v>9</v>
      </c>
      <c r="D58" s="15">
        <v>45901</v>
      </c>
      <c r="E58" s="108" t="s">
        <v>14</v>
      </c>
      <c r="F58" s="36"/>
      <c r="G58" s="16"/>
      <c r="H58" s="74"/>
      <c r="I58" s="74"/>
      <c r="L58" s="160"/>
      <c r="M58" s="137"/>
      <c r="O58" s="134"/>
      <c r="P58" s="91"/>
      <c r="Q58" s="91"/>
      <c r="R58" s="91"/>
      <c r="S58" s="91"/>
      <c r="T58" s="91"/>
      <c r="U58" s="91"/>
      <c r="V58" s="140"/>
    </row>
    <row r="59" spans="2:22" x14ac:dyDescent="0.3">
      <c r="B59" s="74">
        <v>8</v>
      </c>
      <c r="C59" s="74">
        <v>8</v>
      </c>
      <c r="D59" s="15">
        <v>45870</v>
      </c>
      <c r="E59" s="108" t="s">
        <v>13</v>
      </c>
      <c r="F59" s="36"/>
      <c r="G59" s="16"/>
      <c r="H59" s="74"/>
      <c r="I59" s="74"/>
      <c r="L59" s="120"/>
      <c r="M59" s="137"/>
      <c r="O59" s="134"/>
      <c r="P59" s="91"/>
      <c r="Q59" s="91"/>
      <c r="R59" s="91"/>
      <c r="S59" s="91"/>
      <c r="T59" s="91"/>
      <c r="U59" s="91"/>
      <c r="V59" s="140"/>
    </row>
    <row r="60" spans="2:22" x14ac:dyDescent="0.3">
      <c r="B60" s="74">
        <v>7</v>
      </c>
      <c r="C60" s="74">
        <v>7</v>
      </c>
      <c r="D60" s="15">
        <v>45839</v>
      </c>
      <c r="E60" s="108" t="s">
        <v>12</v>
      </c>
      <c r="F60" s="36"/>
      <c r="G60" s="16"/>
      <c r="H60" s="74"/>
      <c r="I60" s="74"/>
      <c r="L60" s="120"/>
      <c r="M60" s="137"/>
      <c r="O60" s="134"/>
      <c r="P60" s="91"/>
      <c r="Q60" s="91"/>
      <c r="R60" s="91"/>
      <c r="S60" s="91"/>
      <c r="T60" s="91"/>
      <c r="U60" s="91"/>
      <c r="V60" s="140"/>
    </row>
    <row r="61" spans="2:22" x14ac:dyDescent="0.3">
      <c r="B61" s="74">
        <v>6</v>
      </c>
      <c r="C61" s="74">
        <v>6</v>
      </c>
      <c r="D61" s="15">
        <v>45809</v>
      </c>
      <c r="E61" s="108" t="s">
        <v>11</v>
      </c>
      <c r="F61" s="36"/>
      <c r="G61" s="16"/>
      <c r="H61" s="74"/>
      <c r="I61" s="74"/>
      <c r="L61" s="120"/>
      <c r="O61" s="134"/>
      <c r="P61" s="91"/>
      <c r="Q61" s="91"/>
      <c r="R61" s="91"/>
      <c r="S61" s="91"/>
      <c r="T61" s="91"/>
      <c r="U61" s="91"/>
      <c r="V61" s="140"/>
    </row>
    <row r="62" spans="2:22" x14ac:dyDescent="0.3">
      <c r="B62" s="74">
        <v>5</v>
      </c>
      <c r="C62" s="74">
        <v>5</v>
      </c>
      <c r="D62" s="15">
        <v>45778</v>
      </c>
      <c r="E62" s="108" t="s">
        <v>10</v>
      </c>
      <c r="F62" s="36"/>
      <c r="G62" s="16"/>
      <c r="H62" s="74"/>
      <c r="I62" s="74"/>
      <c r="L62" s="120"/>
      <c r="O62" s="134"/>
      <c r="P62" s="91"/>
      <c r="Q62" s="91"/>
      <c r="R62" s="91"/>
      <c r="S62" s="91"/>
      <c r="T62" s="91"/>
      <c r="U62" s="91"/>
      <c r="V62" s="140"/>
    </row>
    <row r="63" spans="2:22" x14ac:dyDescent="0.3">
      <c r="B63" s="74">
        <v>4</v>
      </c>
      <c r="C63" s="74">
        <v>4</v>
      </c>
      <c r="D63" s="15">
        <v>45748</v>
      </c>
      <c r="E63" s="108" t="s">
        <v>9</v>
      </c>
      <c r="F63" s="36"/>
      <c r="G63" s="16"/>
      <c r="H63" s="74"/>
      <c r="I63" s="74"/>
      <c r="L63" s="120"/>
      <c r="O63" s="134"/>
      <c r="P63" s="91"/>
      <c r="Q63" s="91"/>
      <c r="R63" s="91"/>
      <c r="S63" s="91"/>
      <c r="T63" s="91"/>
      <c r="U63" s="91"/>
      <c r="V63" s="140"/>
    </row>
    <row r="64" spans="2:22" x14ac:dyDescent="0.3">
      <c r="B64" s="74">
        <v>3</v>
      </c>
      <c r="C64" s="74">
        <v>3</v>
      </c>
      <c r="D64" s="15">
        <v>45717</v>
      </c>
      <c r="E64" s="108" t="s">
        <v>8</v>
      </c>
      <c r="F64" s="36"/>
      <c r="G64" s="16"/>
      <c r="H64" s="74"/>
      <c r="I64" s="74"/>
      <c r="L64" s="120"/>
      <c r="O64" s="134"/>
      <c r="P64" s="91"/>
      <c r="Q64" s="91"/>
      <c r="R64" s="91"/>
      <c r="S64" s="91"/>
      <c r="T64" s="91"/>
      <c r="U64" s="91"/>
      <c r="V64" s="140"/>
    </row>
    <row r="65" spans="2:22" x14ac:dyDescent="0.3">
      <c r="B65" s="74">
        <v>2</v>
      </c>
      <c r="C65" s="74">
        <v>2</v>
      </c>
      <c r="D65" s="15">
        <v>45689</v>
      </c>
      <c r="E65" s="108" t="s">
        <v>6</v>
      </c>
      <c r="F65" s="36"/>
      <c r="G65" s="16"/>
      <c r="H65" s="74"/>
      <c r="I65" s="74"/>
      <c r="L65" s="120"/>
      <c r="O65" s="134"/>
      <c r="P65" s="91"/>
      <c r="Q65" s="91"/>
      <c r="R65" s="91"/>
      <c r="S65" s="91"/>
      <c r="T65" s="91"/>
      <c r="U65" s="91"/>
      <c r="V65" s="140"/>
    </row>
    <row r="66" spans="2:22" x14ac:dyDescent="0.3">
      <c r="B66" s="74">
        <v>1</v>
      </c>
      <c r="C66" s="74">
        <v>1</v>
      </c>
      <c r="D66" s="15">
        <v>45658</v>
      </c>
      <c r="E66" s="108" t="s">
        <v>5</v>
      </c>
      <c r="F66" s="36"/>
      <c r="G66" s="16"/>
      <c r="H66" s="74"/>
      <c r="I66" s="74"/>
      <c r="L66" s="120"/>
      <c r="O66" s="134"/>
      <c r="P66" s="91"/>
      <c r="Q66" s="91"/>
      <c r="R66" s="91"/>
      <c r="S66" s="91"/>
      <c r="T66" s="91"/>
      <c r="U66" s="91"/>
      <c r="V66" s="140"/>
    </row>
    <row r="67" spans="2:22" x14ac:dyDescent="0.3">
      <c r="L67" s="120"/>
      <c r="O67" s="134"/>
      <c r="P67" s="91"/>
      <c r="Q67" s="91"/>
      <c r="R67" s="91"/>
      <c r="S67" s="91"/>
      <c r="T67" s="91"/>
      <c r="U67" s="91"/>
      <c r="V67" s="140"/>
    </row>
    <row r="68" spans="2:22" x14ac:dyDescent="0.3">
      <c r="L68" s="120"/>
      <c r="O68" s="134"/>
      <c r="P68" s="91"/>
      <c r="Q68" s="91"/>
      <c r="R68" s="91"/>
      <c r="S68" s="91"/>
      <c r="T68" s="91"/>
      <c r="U68" s="91"/>
      <c r="V68" s="140"/>
    </row>
    <row r="69" spans="2:22" x14ac:dyDescent="0.3">
      <c r="L69" s="120"/>
      <c r="O69" s="134"/>
      <c r="P69" s="91"/>
      <c r="Q69" s="91"/>
      <c r="R69" s="91"/>
      <c r="S69" s="91"/>
      <c r="T69" s="91"/>
      <c r="U69" s="91"/>
      <c r="V69" s="140"/>
    </row>
    <row r="70" spans="2:22" x14ac:dyDescent="0.3">
      <c r="H70" s="128"/>
      <c r="L70" s="120"/>
      <c r="O70" s="134"/>
      <c r="P70" s="91"/>
      <c r="Q70" s="91"/>
      <c r="R70" s="91"/>
      <c r="S70" s="91"/>
      <c r="T70" s="91"/>
      <c r="U70" s="91"/>
      <c r="V70" s="140"/>
    </row>
    <row r="71" spans="2:22" x14ac:dyDescent="0.3">
      <c r="H71" s="128"/>
      <c r="L71" s="120"/>
      <c r="O71" s="134"/>
      <c r="P71" s="91"/>
      <c r="Q71" s="91"/>
      <c r="R71" s="91"/>
      <c r="S71" s="91"/>
      <c r="T71" s="91"/>
      <c r="U71" s="91"/>
      <c r="V71" s="140"/>
    </row>
    <row r="72" spans="2:22" x14ac:dyDescent="0.3">
      <c r="H72" s="128"/>
      <c r="L72" s="120"/>
      <c r="O72" s="134"/>
      <c r="P72" s="91"/>
      <c r="Q72" s="91"/>
      <c r="R72" s="91"/>
      <c r="S72" s="91"/>
      <c r="T72" s="91"/>
      <c r="U72" s="91"/>
      <c r="V72" s="140"/>
    </row>
    <row r="73" spans="2:22" x14ac:dyDescent="0.3">
      <c r="L73" s="120"/>
      <c r="O73" s="134"/>
      <c r="P73" s="91"/>
      <c r="Q73" s="91"/>
      <c r="R73" s="91"/>
      <c r="S73" s="91"/>
      <c r="T73" s="91"/>
      <c r="U73" s="91"/>
      <c r="V73" s="140"/>
    </row>
    <row r="74" spans="2:22" x14ac:dyDescent="0.3">
      <c r="L74" s="120"/>
      <c r="O74" s="134"/>
      <c r="P74" s="91"/>
      <c r="Q74" s="91"/>
      <c r="R74" s="91"/>
      <c r="S74" s="91"/>
      <c r="T74" s="91"/>
      <c r="U74" s="91"/>
      <c r="V74" s="140"/>
    </row>
    <row r="75" spans="2:22" x14ac:dyDescent="0.3">
      <c r="L75" s="120"/>
      <c r="O75" s="134"/>
      <c r="P75" s="91"/>
      <c r="Q75" s="91"/>
      <c r="R75" s="91"/>
      <c r="S75" s="91"/>
      <c r="T75" s="91"/>
      <c r="U75" s="91"/>
      <c r="V75" s="140"/>
    </row>
    <row r="76" spans="2:22" x14ac:dyDescent="0.3">
      <c r="L76" s="120"/>
      <c r="O76" s="134"/>
      <c r="P76" s="91"/>
      <c r="Q76" s="91"/>
      <c r="R76" s="91"/>
      <c r="S76" s="91"/>
      <c r="T76" s="91"/>
      <c r="U76" s="91"/>
      <c r="V76" s="140"/>
    </row>
    <row r="77" spans="2:22" x14ac:dyDescent="0.3">
      <c r="L77" s="120"/>
      <c r="O77" s="134"/>
      <c r="P77" s="91"/>
      <c r="Q77" s="91"/>
      <c r="R77" s="91"/>
      <c r="S77" s="91"/>
      <c r="T77" s="91"/>
      <c r="U77" s="91"/>
      <c r="V77" s="140"/>
    </row>
    <row r="78" spans="2:22" x14ac:dyDescent="0.3">
      <c r="L78" s="120"/>
      <c r="O78" s="134"/>
      <c r="P78" s="91"/>
      <c r="Q78" s="91"/>
      <c r="R78" s="91"/>
      <c r="S78" s="91"/>
      <c r="T78" s="91"/>
      <c r="U78" s="91"/>
      <c r="V78" s="140"/>
    </row>
    <row r="79" spans="2:22" x14ac:dyDescent="0.3">
      <c r="L79" s="120"/>
      <c r="O79" s="134"/>
      <c r="P79" s="91"/>
      <c r="Q79" s="91"/>
      <c r="R79" s="91"/>
      <c r="S79" s="91"/>
      <c r="T79" s="91"/>
      <c r="U79" s="91"/>
      <c r="V79" s="140"/>
    </row>
    <row r="80" spans="2:22" x14ac:dyDescent="0.3">
      <c r="L80" s="120"/>
      <c r="O80" s="134"/>
      <c r="P80" s="91"/>
      <c r="Q80" s="91"/>
      <c r="R80" s="91"/>
      <c r="S80" s="91"/>
      <c r="T80" s="91"/>
      <c r="U80" s="91"/>
      <c r="V80" s="140"/>
    </row>
    <row r="81" spans="12:22" x14ac:dyDescent="0.3">
      <c r="L81" s="120"/>
      <c r="O81" s="134"/>
      <c r="P81" s="91"/>
      <c r="Q81" s="91"/>
      <c r="R81" s="91"/>
      <c r="S81" s="91"/>
      <c r="T81" s="91"/>
      <c r="U81" s="91"/>
      <c r="V81" s="140"/>
    </row>
    <row r="82" spans="12:22" x14ac:dyDescent="0.3">
      <c r="L82" s="120"/>
      <c r="O82" s="134"/>
      <c r="P82" s="91"/>
      <c r="Q82" s="91"/>
      <c r="R82" s="91"/>
      <c r="S82" s="91"/>
      <c r="T82" s="91"/>
      <c r="U82" s="91"/>
      <c r="V82" s="140"/>
    </row>
    <row r="83" spans="12:22" x14ac:dyDescent="0.3">
      <c r="L83" s="120"/>
      <c r="O83" s="134"/>
      <c r="P83" s="91"/>
      <c r="Q83" s="91"/>
      <c r="R83" s="91"/>
      <c r="S83" s="91"/>
      <c r="T83" s="91"/>
      <c r="U83" s="91"/>
      <c r="V83" s="140"/>
    </row>
    <row r="84" spans="12:22" x14ac:dyDescent="0.3">
      <c r="L84" s="120"/>
      <c r="O84" s="134"/>
      <c r="P84" s="91"/>
      <c r="Q84" s="91"/>
      <c r="R84" s="91"/>
      <c r="S84" s="91"/>
      <c r="T84" s="91"/>
      <c r="U84" s="91"/>
      <c r="V84" s="140"/>
    </row>
    <row r="85" spans="12:22" x14ac:dyDescent="0.3">
      <c r="L85" s="120"/>
      <c r="O85" s="134"/>
      <c r="P85" s="91"/>
      <c r="Q85" s="91"/>
      <c r="R85" s="91"/>
      <c r="S85" s="91"/>
      <c r="T85" s="91"/>
      <c r="U85" s="91"/>
      <c r="V85" s="140"/>
    </row>
    <row r="86" spans="12:22" x14ac:dyDescent="0.3">
      <c r="L86" s="120"/>
      <c r="O86" s="134"/>
      <c r="P86" s="91"/>
      <c r="Q86" s="91"/>
      <c r="R86" s="91"/>
      <c r="S86" s="91"/>
      <c r="T86" s="91"/>
      <c r="U86" s="91"/>
      <c r="V86" s="140"/>
    </row>
    <row r="87" spans="12:22" x14ac:dyDescent="0.3">
      <c r="L87" s="120"/>
      <c r="O87" s="134"/>
      <c r="P87" s="91"/>
      <c r="Q87" s="91"/>
      <c r="R87" s="91"/>
      <c r="S87" s="91"/>
      <c r="T87" s="91"/>
      <c r="U87" s="91"/>
      <c r="V87" s="140"/>
    </row>
    <row r="88" spans="12:22" x14ac:dyDescent="0.3">
      <c r="L88" s="120"/>
      <c r="O88" s="134"/>
      <c r="P88" s="91"/>
      <c r="Q88" s="91"/>
      <c r="R88" s="91"/>
      <c r="S88" s="91"/>
      <c r="T88" s="91"/>
      <c r="U88" s="91"/>
      <c r="V88" s="140"/>
    </row>
    <row r="89" spans="12:22" x14ac:dyDescent="0.3">
      <c r="L89" s="120"/>
      <c r="O89" s="134"/>
      <c r="P89" s="91"/>
      <c r="Q89" s="91"/>
      <c r="R89" s="91"/>
      <c r="S89" s="91"/>
      <c r="T89" s="91"/>
      <c r="U89" s="91"/>
      <c r="V89" s="140"/>
    </row>
    <row r="90" spans="12:22" x14ac:dyDescent="0.3">
      <c r="L90" s="120"/>
      <c r="O90" s="134"/>
      <c r="P90" s="91"/>
      <c r="Q90" s="91"/>
      <c r="R90" s="91"/>
      <c r="S90" s="91"/>
      <c r="T90" s="91"/>
      <c r="U90" s="91"/>
      <c r="V90" s="140"/>
    </row>
    <row r="91" spans="12:22" x14ac:dyDescent="0.3">
      <c r="L91" s="120"/>
      <c r="O91" s="134"/>
      <c r="P91" s="91"/>
      <c r="Q91" s="91"/>
      <c r="R91" s="91"/>
      <c r="S91" s="91"/>
      <c r="T91" s="91"/>
      <c r="U91" s="91"/>
      <c r="V91" s="140"/>
    </row>
    <row r="92" spans="12:22" x14ac:dyDescent="0.3">
      <c r="L92" s="120"/>
      <c r="O92" s="134"/>
      <c r="P92" s="91"/>
      <c r="Q92" s="91"/>
      <c r="R92" s="91"/>
      <c r="S92" s="91"/>
      <c r="T92" s="91"/>
      <c r="U92" s="91"/>
      <c r="V92" s="140"/>
    </row>
    <row r="93" spans="12:22" x14ac:dyDescent="0.3">
      <c r="L93" s="120"/>
      <c r="O93" s="134"/>
      <c r="P93" s="91"/>
      <c r="Q93" s="91"/>
      <c r="R93" s="91"/>
      <c r="S93" s="91"/>
      <c r="T93" s="91"/>
      <c r="U93" s="91"/>
      <c r="V93" s="140"/>
    </row>
    <row r="94" spans="12:22" x14ac:dyDescent="0.3">
      <c r="L94" s="120"/>
      <c r="O94" s="134"/>
      <c r="P94" s="91"/>
      <c r="Q94" s="91"/>
      <c r="R94" s="91"/>
      <c r="S94" s="91"/>
      <c r="T94" s="91"/>
      <c r="U94" s="91"/>
      <c r="V94" s="140"/>
    </row>
    <row r="95" spans="12:22" x14ac:dyDescent="0.3">
      <c r="L95" s="120"/>
      <c r="O95" s="134"/>
      <c r="P95" s="91"/>
      <c r="Q95" s="91"/>
      <c r="R95" s="91"/>
      <c r="S95" s="91"/>
      <c r="T95" s="91"/>
      <c r="U95" s="91"/>
      <c r="V95" s="140"/>
    </row>
    <row r="96" spans="12:22" x14ac:dyDescent="0.3">
      <c r="L96" s="120"/>
      <c r="O96" s="134"/>
      <c r="P96" s="91"/>
      <c r="Q96" s="91"/>
      <c r="R96" s="91"/>
      <c r="S96" s="91"/>
      <c r="T96" s="91"/>
      <c r="U96" s="91"/>
      <c r="V96" s="140"/>
    </row>
    <row r="97" spans="12:22" x14ac:dyDescent="0.3">
      <c r="L97" s="120"/>
      <c r="O97" s="134"/>
      <c r="P97" s="91"/>
      <c r="Q97" s="91"/>
      <c r="R97" s="91"/>
      <c r="S97" s="91"/>
      <c r="T97" s="91"/>
      <c r="U97" s="91"/>
      <c r="V97" s="140"/>
    </row>
    <row r="98" spans="12:22" x14ac:dyDescent="0.3">
      <c r="L98" s="120"/>
      <c r="O98" s="134"/>
      <c r="P98" s="91"/>
      <c r="Q98" s="91"/>
      <c r="R98" s="91"/>
      <c r="S98" s="91"/>
      <c r="T98" s="91"/>
      <c r="U98" s="91"/>
      <c r="V98" s="140"/>
    </row>
    <row r="99" spans="12:22" x14ac:dyDescent="0.3">
      <c r="L99" s="120"/>
      <c r="O99" s="134"/>
      <c r="P99" s="91"/>
      <c r="Q99" s="91"/>
      <c r="R99" s="91"/>
      <c r="S99" s="91"/>
      <c r="T99" s="91"/>
      <c r="U99" s="91"/>
      <c r="V99" s="140"/>
    </row>
    <row r="100" spans="12:22" x14ac:dyDescent="0.3">
      <c r="L100" s="120"/>
      <c r="O100" s="134"/>
      <c r="P100" s="91"/>
      <c r="Q100" s="91"/>
      <c r="R100" s="91"/>
      <c r="S100" s="91"/>
      <c r="T100" s="91"/>
      <c r="U100" s="91"/>
      <c r="V100" s="140"/>
    </row>
    <row r="101" spans="12:22" x14ac:dyDescent="0.3">
      <c r="L101" s="120"/>
      <c r="O101" s="134"/>
      <c r="P101" s="91"/>
      <c r="Q101" s="91"/>
      <c r="R101" s="91"/>
      <c r="S101" s="91"/>
      <c r="T101" s="91"/>
      <c r="U101" s="91"/>
      <c r="V101" s="140"/>
    </row>
    <row r="102" spans="12:22" x14ac:dyDescent="0.3">
      <c r="L102" s="120"/>
      <c r="O102" s="134"/>
      <c r="P102" s="91"/>
      <c r="Q102" s="91"/>
      <c r="R102" s="91"/>
      <c r="S102" s="91"/>
      <c r="T102" s="91"/>
      <c r="U102" s="91"/>
      <c r="V102" s="140"/>
    </row>
    <row r="103" spans="12:22" x14ac:dyDescent="0.3">
      <c r="L103" s="120"/>
      <c r="O103" s="134"/>
      <c r="P103" s="91"/>
      <c r="Q103" s="91"/>
      <c r="R103" s="91"/>
      <c r="S103" s="91"/>
      <c r="T103" s="91"/>
      <c r="U103" s="91"/>
      <c r="V103" s="140"/>
    </row>
    <row r="104" spans="12:22" x14ac:dyDescent="0.3">
      <c r="L104" s="120"/>
      <c r="O104" s="134"/>
      <c r="P104" s="91"/>
      <c r="Q104" s="91"/>
      <c r="R104" s="91"/>
      <c r="S104" s="91"/>
      <c r="T104" s="91"/>
      <c r="U104" s="91"/>
      <c r="V104" s="140"/>
    </row>
    <row r="105" spans="12:22" x14ac:dyDescent="0.3">
      <c r="L105" s="120"/>
      <c r="O105" s="134"/>
      <c r="P105" s="91"/>
      <c r="Q105" s="91"/>
      <c r="R105" s="91"/>
      <c r="S105" s="91"/>
      <c r="T105" s="91"/>
      <c r="U105" s="91"/>
      <c r="V105" s="140"/>
    </row>
    <row r="106" spans="12:22" x14ac:dyDescent="0.3">
      <c r="L106" s="120"/>
      <c r="O106" s="134"/>
      <c r="P106" s="91"/>
      <c r="Q106" s="91"/>
      <c r="R106" s="91"/>
      <c r="S106" s="91"/>
      <c r="T106" s="91"/>
      <c r="U106" s="91"/>
      <c r="V106" s="140"/>
    </row>
    <row r="107" spans="12:22" x14ac:dyDescent="0.3">
      <c r="L107" s="120"/>
      <c r="O107" s="134"/>
      <c r="P107" s="91"/>
      <c r="Q107" s="91"/>
      <c r="R107" s="91"/>
      <c r="S107" s="91"/>
      <c r="T107" s="91"/>
      <c r="U107" s="91"/>
      <c r="V107" s="140"/>
    </row>
    <row r="108" spans="12:22" x14ac:dyDescent="0.3">
      <c r="L108" s="120"/>
      <c r="O108" s="134"/>
      <c r="P108" s="91"/>
      <c r="Q108" s="91"/>
      <c r="R108" s="91"/>
      <c r="S108" s="91"/>
      <c r="T108" s="91"/>
      <c r="U108" s="91"/>
      <c r="V108" s="140"/>
    </row>
    <row r="109" spans="12:22" x14ac:dyDescent="0.3">
      <c r="L109" s="120"/>
      <c r="O109" s="134"/>
      <c r="P109" s="91"/>
      <c r="Q109" s="91"/>
      <c r="R109" s="91"/>
      <c r="S109" s="91"/>
      <c r="T109" s="91"/>
      <c r="U109" s="91"/>
      <c r="V109" s="140"/>
    </row>
    <row r="110" spans="12:22" x14ac:dyDescent="0.3">
      <c r="L110" s="120"/>
      <c r="O110" s="134"/>
      <c r="P110" s="91"/>
      <c r="Q110" s="91"/>
      <c r="R110" s="91"/>
      <c r="S110" s="91"/>
      <c r="T110" s="91"/>
      <c r="U110" s="91"/>
      <c r="V110" s="140"/>
    </row>
    <row r="111" spans="12:22" x14ac:dyDescent="0.3">
      <c r="L111" s="120"/>
      <c r="O111" s="134"/>
      <c r="P111" s="91"/>
      <c r="Q111" s="91"/>
      <c r="R111" s="91"/>
      <c r="S111" s="91"/>
      <c r="T111" s="91"/>
      <c r="U111" s="91"/>
      <c r="V111" s="140"/>
    </row>
    <row r="112" spans="12:22" x14ac:dyDescent="0.3">
      <c r="L112" s="120"/>
      <c r="O112" s="134"/>
      <c r="P112" s="91"/>
      <c r="Q112" s="91"/>
      <c r="R112" s="91"/>
      <c r="S112" s="91"/>
      <c r="T112" s="91"/>
      <c r="U112" s="91"/>
      <c r="V112" s="140"/>
    </row>
    <row r="113" spans="12:22" x14ac:dyDescent="0.3">
      <c r="L113" s="93"/>
      <c r="O113" s="134"/>
      <c r="S113" s="91"/>
      <c r="T113" s="91"/>
      <c r="U113" s="91"/>
      <c r="V113" s="140"/>
    </row>
    <row r="114" spans="12:22" x14ac:dyDescent="0.3">
      <c r="L114" s="93"/>
      <c r="O114" s="134"/>
      <c r="S114" s="91"/>
      <c r="T114" s="91"/>
      <c r="U114" s="91"/>
      <c r="V114" s="140"/>
    </row>
    <row r="115" spans="12:22" x14ac:dyDescent="0.3">
      <c r="L115" s="93"/>
      <c r="O115" s="134"/>
      <c r="S115" s="91"/>
      <c r="T115" s="91"/>
      <c r="U115" s="91"/>
      <c r="V115" s="140"/>
    </row>
    <row r="116" spans="12:22" x14ac:dyDescent="0.3">
      <c r="L116" s="93"/>
      <c r="O116" s="134"/>
      <c r="S116" s="91"/>
      <c r="T116" s="91"/>
      <c r="U116" s="91"/>
      <c r="V116" s="140"/>
    </row>
    <row r="117" spans="12:22" x14ac:dyDescent="0.3">
      <c r="L117" s="93"/>
      <c r="O117" s="134"/>
      <c r="S117" s="91"/>
      <c r="T117" s="91"/>
      <c r="U117" s="91"/>
      <c r="V117" s="140"/>
    </row>
    <row r="118" spans="12:22" x14ac:dyDescent="0.3">
      <c r="L118" s="93"/>
      <c r="O118" s="134"/>
      <c r="S118" s="91"/>
      <c r="T118" s="91"/>
      <c r="U118" s="91"/>
      <c r="V118" s="140"/>
    </row>
    <row r="119" spans="12:22" x14ac:dyDescent="0.3">
      <c r="L119" s="93"/>
      <c r="O119" s="134"/>
      <c r="S119" s="91"/>
      <c r="T119" s="91"/>
      <c r="U119" s="91"/>
      <c r="V119" s="140"/>
    </row>
    <row r="120" spans="12:22" x14ac:dyDescent="0.3">
      <c r="L120" s="93"/>
      <c r="O120" s="134"/>
      <c r="S120" s="91"/>
      <c r="T120" s="91"/>
      <c r="U120" s="91"/>
      <c r="V120" s="140"/>
    </row>
    <row r="121" spans="12:22" x14ac:dyDescent="0.3">
      <c r="L121" s="93"/>
      <c r="O121" s="134"/>
      <c r="S121" s="91"/>
      <c r="T121" s="91"/>
      <c r="U121" s="91"/>
      <c r="V121" s="140"/>
    </row>
    <row r="122" spans="12:22" x14ac:dyDescent="0.3">
      <c r="L122" s="93"/>
      <c r="O122" s="134"/>
      <c r="S122" s="91"/>
      <c r="T122" s="91"/>
      <c r="U122" s="91"/>
      <c r="V122" s="140"/>
    </row>
    <row r="123" spans="12:22" x14ac:dyDescent="0.3">
      <c r="L123" s="93"/>
      <c r="O123" s="134"/>
      <c r="S123" s="91"/>
      <c r="T123" s="91"/>
      <c r="U123" s="91"/>
      <c r="V123" s="140"/>
    </row>
    <row r="124" spans="12:22" x14ac:dyDescent="0.3">
      <c r="L124" s="93"/>
      <c r="O124" s="134"/>
      <c r="S124" s="91"/>
      <c r="T124" s="91"/>
      <c r="U124" s="91"/>
      <c r="V124" s="140"/>
    </row>
    <row r="125" spans="12:22" x14ac:dyDescent="0.3">
      <c r="L125" s="93"/>
      <c r="O125" s="134"/>
      <c r="S125" s="91"/>
      <c r="T125" s="91"/>
      <c r="U125" s="91"/>
      <c r="V125" s="140"/>
    </row>
    <row r="126" spans="12:22" x14ac:dyDescent="0.3">
      <c r="L126" s="93"/>
      <c r="O126" s="134"/>
      <c r="S126" s="91"/>
      <c r="T126" s="91"/>
      <c r="U126" s="91"/>
      <c r="V126" s="140"/>
    </row>
    <row r="127" spans="12:22" x14ac:dyDescent="0.3">
      <c r="L127" s="93"/>
      <c r="O127" s="134"/>
      <c r="S127" s="91"/>
      <c r="T127" s="91"/>
      <c r="U127" s="91"/>
      <c r="V127" s="140"/>
    </row>
    <row r="128" spans="12:22" x14ac:dyDescent="0.3">
      <c r="L128" s="93"/>
      <c r="O128" s="134"/>
      <c r="S128" s="91"/>
      <c r="T128" s="91"/>
      <c r="U128" s="91"/>
      <c r="V128" s="140"/>
    </row>
    <row r="129" spans="12:22" x14ac:dyDescent="0.3">
      <c r="L129" s="93"/>
      <c r="O129" s="134"/>
      <c r="S129" s="91"/>
      <c r="T129" s="91"/>
      <c r="U129" s="91"/>
      <c r="V129" s="140"/>
    </row>
    <row r="130" spans="12:22" x14ac:dyDescent="0.3">
      <c r="L130" s="93"/>
      <c r="O130" s="134"/>
      <c r="S130" s="91"/>
      <c r="T130" s="91"/>
      <c r="U130" s="91"/>
      <c r="V130" s="140"/>
    </row>
    <row r="131" spans="12:22" x14ac:dyDescent="0.3">
      <c r="L131" s="93"/>
      <c r="O131" s="134"/>
      <c r="S131" s="91"/>
      <c r="T131" s="91"/>
      <c r="U131" s="91"/>
      <c r="V131" s="140"/>
    </row>
    <row r="132" spans="12:22" x14ac:dyDescent="0.3">
      <c r="L132" s="93"/>
      <c r="O132" s="134"/>
      <c r="S132" s="91"/>
      <c r="T132" s="91"/>
      <c r="U132" s="91"/>
      <c r="V132" s="140"/>
    </row>
    <row r="133" spans="12:22" x14ac:dyDescent="0.3">
      <c r="L133" s="93"/>
      <c r="O133" s="134"/>
      <c r="S133" s="91"/>
      <c r="T133" s="91"/>
      <c r="U133" s="91"/>
      <c r="V133" s="140"/>
    </row>
    <row r="134" spans="12:22" x14ac:dyDescent="0.3">
      <c r="L134" s="93"/>
      <c r="O134" s="134"/>
      <c r="S134" s="91"/>
      <c r="T134" s="91"/>
      <c r="U134" s="91"/>
      <c r="V134" s="140"/>
    </row>
    <row r="135" spans="12:22" x14ac:dyDescent="0.3">
      <c r="L135" s="93"/>
      <c r="O135" s="134"/>
      <c r="S135" s="91"/>
      <c r="T135" s="91"/>
      <c r="U135" s="91"/>
      <c r="V135" s="140"/>
    </row>
    <row r="136" spans="12:22" x14ac:dyDescent="0.3">
      <c r="L136" s="93"/>
      <c r="O136" s="134"/>
      <c r="S136" s="91"/>
      <c r="T136" s="91"/>
      <c r="U136" s="91"/>
      <c r="V136" s="140"/>
    </row>
    <row r="137" spans="12:22" x14ac:dyDescent="0.3">
      <c r="L137" s="93"/>
      <c r="O137" s="134"/>
      <c r="S137" s="91"/>
      <c r="T137" s="91"/>
      <c r="U137" s="91"/>
      <c r="V137" s="140"/>
    </row>
    <row r="138" spans="12:22" x14ac:dyDescent="0.3">
      <c r="L138" s="93"/>
      <c r="O138" s="134"/>
      <c r="S138" s="91"/>
      <c r="T138" s="91"/>
      <c r="U138" s="91"/>
      <c r="V138" s="140"/>
    </row>
    <row r="139" spans="12:22" x14ac:dyDescent="0.3">
      <c r="L139" s="93"/>
      <c r="O139" s="134"/>
      <c r="S139" s="91"/>
      <c r="T139" s="91"/>
      <c r="U139" s="91"/>
      <c r="V139" s="140"/>
    </row>
    <row r="140" spans="12:22" x14ac:dyDescent="0.3">
      <c r="L140" s="93"/>
      <c r="O140" s="134"/>
      <c r="S140" s="91"/>
      <c r="T140" s="91"/>
      <c r="U140" s="91"/>
      <c r="V140" s="140"/>
    </row>
    <row r="141" spans="12:22" x14ac:dyDescent="0.3">
      <c r="L141" s="93"/>
      <c r="O141" s="134"/>
      <c r="S141" s="91"/>
      <c r="T141" s="91"/>
      <c r="U141" s="91"/>
      <c r="V141" s="140"/>
    </row>
    <row r="142" spans="12:22" x14ac:dyDescent="0.3">
      <c r="L142" s="93"/>
      <c r="O142" s="134"/>
      <c r="S142" s="91"/>
      <c r="T142" s="91"/>
      <c r="U142" s="91"/>
      <c r="V142" s="140"/>
    </row>
    <row r="143" spans="12:22" x14ac:dyDescent="0.3">
      <c r="L143" s="93"/>
      <c r="O143" s="134"/>
      <c r="S143" s="91"/>
      <c r="T143" s="91"/>
      <c r="U143" s="91"/>
      <c r="V143" s="140"/>
    </row>
    <row r="144" spans="12:22" x14ac:dyDescent="0.3">
      <c r="L144" s="93"/>
      <c r="O144" s="134"/>
      <c r="S144" s="91"/>
      <c r="T144" s="91"/>
      <c r="U144" s="91"/>
      <c r="V144" s="140"/>
    </row>
    <row r="145" spans="12:22" x14ac:dyDescent="0.3">
      <c r="L145" s="93"/>
      <c r="O145" s="134"/>
      <c r="S145" s="91"/>
      <c r="T145" s="91"/>
      <c r="U145" s="91"/>
      <c r="V145" s="140"/>
    </row>
    <row r="146" spans="12:22" x14ac:dyDescent="0.3">
      <c r="L146" s="93"/>
      <c r="O146" s="134"/>
      <c r="S146" s="91"/>
      <c r="T146" s="91"/>
      <c r="U146" s="91"/>
      <c r="V146" s="140"/>
    </row>
    <row r="147" spans="12:22" x14ac:dyDescent="0.3">
      <c r="L147" s="93"/>
      <c r="O147" s="134"/>
      <c r="S147" s="91"/>
      <c r="T147" s="91"/>
      <c r="U147" s="91"/>
      <c r="V147" s="140"/>
    </row>
    <row r="148" spans="12:22" x14ac:dyDescent="0.3">
      <c r="L148" s="93"/>
      <c r="O148" s="134"/>
      <c r="S148" s="91"/>
      <c r="T148" s="91"/>
      <c r="U148" s="91"/>
      <c r="V148" s="140"/>
    </row>
    <row r="149" spans="12:22" x14ac:dyDescent="0.3">
      <c r="L149" s="93"/>
      <c r="O149" s="134"/>
      <c r="S149" s="91"/>
      <c r="T149" s="91"/>
      <c r="U149" s="91"/>
      <c r="V149" s="140"/>
    </row>
    <row r="150" spans="12:22" x14ac:dyDescent="0.3">
      <c r="L150" s="93"/>
      <c r="O150" s="134"/>
      <c r="S150" s="91"/>
      <c r="T150" s="91"/>
      <c r="U150" s="91"/>
      <c r="V150" s="140"/>
    </row>
    <row r="151" spans="12:22" x14ac:dyDescent="0.3">
      <c r="L151" s="93"/>
      <c r="O151" s="134"/>
      <c r="S151" s="91"/>
      <c r="T151" s="91"/>
      <c r="U151" s="91"/>
      <c r="V151" s="140"/>
    </row>
    <row r="152" spans="12:22" x14ac:dyDescent="0.3">
      <c r="L152" s="93"/>
      <c r="O152" s="134"/>
      <c r="S152" s="91"/>
      <c r="T152" s="91"/>
      <c r="U152" s="91"/>
      <c r="V152" s="140"/>
    </row>
    <row r="153" spans="12:22" x14ac:dyDescent="0.3">
      <c r="L153" s="93"/>
      <c r="O153" s="134"/>
      <c r="S153" s="91"/>
      <c r="T153" s="91"/>
      <c r="U153" s="91"/>
      <c r="V153" s="140"/>
    </row>
    <row r="154" spans="12:22" x14ac:dyDescent="0.3">
      <c r="L154" s="93"/>
      <c r="O154" s="134"/>
      <c r="S154" s="91"/>
      <c r="T154" s="91"/>
      <c r="U154" s="91"/>
      <c r="V154" s="140"/>
    </row>
    <row r="155" spans="12:22" x14ac:dyDescent="0.3">
      <c r="L155" s="93"/>
      <c r="O155" s="134"/>
      <c r="S155" s="91"/>
      <c r="T155" s="91"/>
      <c r="U155" s="91"/>
      <c r="V155" s="140"/>
    </row>
    <row r="156" spans="12:22" x14ac:dyDescent="0.3">
      <c r="L156" s="93"/>
      <c r="O156" s="134"/>
      <c r="S156" s="91"/>
      <c r="T156" s="91"/>
      <c r="U156" s="91"/>
      <c r="V156" s="140"/>
    </row>
    <row r="157" spans="12:22" x14ac:dyDescent="0.3">
      <c r="L157" s="93"/>
      <c r="O157" s="134"/>
      <c r="S157" s="91"/>
      <c r="T157" s="91"/>
      <c r="U157" s="91"/>
      <c r="V157" s="140"/>
    </row>
    <row r="158" spans="12:22" x14ac:dyDescent="0.3">
      <c r="L158" s="93"/>
      <c r="O158" s="134"/>
      <c r="S158" s="91"/>
      <c r="T158" s="91"/>
      <c r="U158" s="91"/>
      <c r="V158" s="140"/>
    </row>
    <row r="159" spans="12:22" x14ac:dyDescent="0.3">
      <c r="L159" s="93"/>
      <c r="O159" s="134"/>
      <c r="S159" s="91"/>
      <c r="T159" s="91"/>
      <c r="U159" s="91"/>
      <c r="V159" s="140"/>
    </row>
    <row r="160" spans="12:22" x14ac:dyDescent="0.3">
      <c r="L160" s="93"/>
      <c r="O160" s="134"/>
      <c r="S160" s="91"/>
      <c r="T160" s="91"/>
      <c r="U160" s="91"/>
      <c r="V160" s="140"/>
    </row>
    <row r="161" spans="12:22" x14ac:dyDescent="0.3">
      <c r="L161" s="93"/>
      <c r="O161" s="134"/>
      <c r="S161" s="91"/>
      <c r="T161" s="91"/>
      <c r="U161" s="91"/>
      <c r="V161" s="140"/>
    </row>
    <row r="162" spans="12:22" x14ac:dyDescent="0.3">
      <c r="L162" s="93"/>
      <c r="O162" s="134"/>
      <c r="S162" s="91"/>
      <c r="T162" s="91"/>
      <c r="U162" s="91"/>
      <c r="V162" s="140"/>
    </row>
    <row r="163" spans="12:22" x14ac:dyDescent="0.3">
      <c r="L163" s="93"/>
      <c r="O163" s="134"/>
      <c r="S163" s="91"/>
      <c r="T163" s="91"/>
      <c r="U163" s="91"/>
      <c r="V163" s="140"/>
    </row>
    <row r="164" spans="12:22" x14ac:dyDescent="0.3">
      <c r="L164" s="93"/>
      <c r="O164" s="134"/>
      <c r="S164" s="91"/>
      <c r="T164" s="91"/>
      <c r="U164" s="91"/>
      <c r="V164" s="140"/>
    </row>
    <row r="165" spans="12:22" x14ac:dyDescent="0.3">
      <c r="L165" s="93"/>
      <c r="O165" s="134"/>
      <c r="S165" s="91"/>
      <c r="T165" s="91"/>
      <c r="U165" s="91"/>
      <c r="V165" s="140"/>
    </row>
    <row r="166" spans="12:22" x14ac:dyDescent="0.3">
      <c r="L166" s="93"/>
      <c r="O166" s="134"/>
      <c r="S166" s="91"/>
      <c r="T166" s="91"/>
      <c r="U166" s="91"/>
      <c r="V166" s="140"/>
    </row>
    <row r="167" spans="12:22" x14ac:dyDescent="0.3">
      <c r="L167" s="93"/>
      <c r="O167" s="134"/>
      <c r="S167" s="91"/>
      <c r="T167" s="91"/>
      <c r="U167" s="91"/>
      <c r="V167" s="140"/>
    </row>
    <row r="168" spans="12:22" x14ac:dyDescent="0.3">
      <c r="L168" s="93"/>
      <c r="O168" s="134"/>
      <c r="S168" s="91"/>
      <c r="T168" s="91"/>
      <c r="U168" s="91"/>
      <c r="V168" s="140"/>
    </row>
    <row r="169" spans="12:22" x14ac:dyDescent="0.3">
      <c r="L169" s="93"/>
      <c r="O169" s="134"/>
      <c r="S169" s="91"/>
      <c r="T169" s="91"/>
      <c r="U169" s="91"/>
      <c r="V169" s="140"/>
    </row>
    <row r="170" spans="12:22" x14ac:dyDescent="0.3">
      <c r="L170" s="93"/>
      <c r="O170" s="134"/>
      <c r="S170" s="91"/>
      <c r="T170" s="91"/>
      <c r="U170" s="91"/>
      <c r="V170" s="140"/>
    </row>
    <row r="171" spans="12:22" x14ac:dyDescent="0.3">
      <c r="L171" s="93"/>
      <c r="O171" s="134"/>
      <c r="S171" s="91"/>
      <c r="T171" s="91"/>
      <c r="U171" s="91"/>
      <c r="V171" s="140"/>
    </row>
    <row r="172" spans="12:22" x14ac:dyDescent="0.3">
      <c r="L172" s="93"/>
      <c r="O172" s="134"/>
      <c r="S172" s="91"/>
      <c r="T172" s="91"/>
      <c r="U172" s="91"/>
      <c r="V172" s="140"/>
    </row>
    <row r="173" spans="12:22" x14ac:dyDescent="0.3">
      <c r="L173" s="93"/>
      <c r="O173" s="134"/>
      <c r="S173" s="91"/>
      <c r="T173" s="91"/>
      <c r="U173" s="91"/>
      <c r="V173" s="140"/>
    </row>
    <row r="174" spans="12:22" x14ac:dyDescent="0.3">
      <c r="L174" s="93"/>
      <c r="O174" s="134"/>
      <c r="S174" s="91"/>
      <c r="T174" s="91"/>
      <c r="U174" s="91"/>
      <c r="V174" s="140"/>
    </row>
    <row r="175" spans="12:22" x14ac:dyDescent="0.3">
      <c r="L175" s="93"/>
      <c r="O175" s="134"/>
      <c r="S175" s="91"/>
      <c r="T175" s="91"/>
      <c r="U175" s="91"/>
      <c r="V175" s="140"/>
    </row>
    <row r="176" spans="12:22" x14ac:dyDescent="0.3">
      <c r="L176" s="93"/>
      <c r="O176" s="134"/>
      <c r="S176" s="91"/>
      <c r="T176" s="91"/>
      <c r="U176" s="91"/>
      <c r="V176" s="140"/>
    </row>
    <row r="177" spans="12:22" x14ac:dyDescent="0.3">
      <c r="L177" s="93"/>
      <c r="O177" s="134"/>
      <c r="S177" s="91"/>
      <c r="T177" s="91"/>
      <c r="U177" s="91"/>
      <c r="V177" s="140"/>
    </row>
    <row r="178" spans="12:22" x14ac:dyDescent="0.3">
      <c r="L178" s="93"/>
      <c r="O178" s="134"/>
      <c r="S178" s="91"/>
      <c r="T178" s="91"/>
      <c r="U178" s="91"/>
      <c r="V178" s="140"/>
    </row>
    <row r="179" spans="12:22" x14ac:dyDescent="0.3">
      <c r="L179" s="93"/>
      <c r="O179" s="134"/>
      <c r="S179" s="91"/>
      <c r="T179" s="91"/>
      <c r="U179" s="91"/>
      <c r="V179" s="140"/>
    </row>
    <row r="180" spans="12:22" x14ac:dyDescent="0.3">
      <c r="L180" s="93"/>
      <c r="O180" s="134"/>
      <c r="S180" s="91"/>
      <c r="T180" s="91"/>
      <c r="U180" s="91"/>
      <c r="V180" s="140"/>
    </row>
    <row r="181" spans="12:22" x14ac:dyDescent="0.3">
      <c r="L181" s="93"/>
      <c r="O181" s="134"/>
      <c r="S181" s="91"/>
      <c r="T181" s="91"/>
      <c r="U181" s="91"/>
      <c r="V181" s="140"/>
    </row>
    <row r="182" spans="12:22" x14ac:dyDescent="0.3">
      <c r="L182" s="93"/>
      <c r="O182" s="134"/>
      <c r="S182" s="91"/>
      <c r="T182" s="91"/>
      <c r="U182" s="91"/>
      <c r="V182" s="140"/>
    </row>
    <row r="183" spans="12:22" x14ac:dyDescent="0.3">
      <c r="L183" s="93"/>
      <c r="O183" s="134"/>
      <c r="S183" s="91"/>
      <c r="T183" s="91"/>
      <c r="U183" s="91"/>
      <c r="V183" s="140"/>
    </row>
    <row r="184" spans="12:22" x14ac:dyDescent="0.3">
      <c r="L184" s="93"/>
      <c r="O184" s="134"/>
      <c r="S184" s="91"/>
      <c r="T184" s="91"/>
      <c r="U184" s="91"/>
      <c r="V184" s="140"/>
    </row>
    <row r="185" spans="12:22" x14ac:dyDescent="0.3">
      <c r="L185" s="93"/>
      <c r="O185" s="134"/>
      <c r="S185" s="91"/>
      <c r="T185" s="91"/>
      <c r="U185" s="91"/>
      <c r="V185" s="140"/>
    </row>
    <row r="186" spans="12:22" x14ac:dyDescent="0.3">
      <c r="L186" s="93"/>
      <c r="O186" s="134"/>
      <c r="S186" s="91"/>
      <c r="T186" s="91"/>
      <c r="U186" s="91"/>
      <c r="V186" s="140"/>
    </row>
    <row r="187" spans="12:22" x14ac:dyDescent="0.3">
      <c r="L187" s="93"/>
      <c r="O187" s="134"/>
      <c r="S187" s="91"/>
      <c r="T187" s="91"/>
      <c r="U187" s="91"/>
      <c r="V187" s="140"/>
    </row>
    <row r="188" spans="12:22" x14ac:dyDescent="0.3">
      <c r="L188" s="93"/>
      <c r="O188" s="134"/>
      <c r="S188" s="91"/>
      <c r="T188" s="91"/>
      <c r="U188" s="91"/>
      <c r="V188" s="140"/>
    </row>
    <row r="189" spans="12:22" x14ac:dyDescent="0.3">
      <c r="L189" s="93"/>
      <c r="O189" s="134"/>
      <c r="S189" s="91"/>
      <c r="T189" s="91"/>
      <c r="U189" s="91"/>
      <c r="V189" s="140"/>
    </row>
    <row r="190" spans="12:22" x14ac:dyDescent="0.3">
      <c r="L190" s="93"/>
      <c r="O190" s="134"/>
      <c r="S190" s="91"/>
      <c r="T190" s="91"/>
      <c r="U190" s="91"/>
      <c r="V190" s="140"/>
    </row>
    <row r="191" spans="12:22" x14ac:dyDescent="0.3">
      <c r="L191" s="93"/>
      <c r="O191" s="134"/>
      <c r="S191" s="91"/>
      <c r="T191" s="91"/>
      <c r="U191" s="91"/>
      <c r="V191" s="140"/>
    </row>
    <row r="192" spans="12:22" x14ac:dyDescent="0.3">
      <c r="L192" s="93"/>
      <c r="O192" s="134"/>
      <c r="S192" s="91"/>
      <c r="T192" s="91"/>
      <c r="U192" s="91"/>
      <c r="V192" s="140"/>
    </row>
    <row r="193" spans="12:22" x14ac:dyDescent="0.3">
      <c r="L193" s="93"/>
      <c r="O193" s="134"/>
      <c r="S193" s="91"/>
      <c r="T193" s="91"/>
      <c r="U193" s="91"/>
      <c r="V193" s="140"/>
    </row>
    <row r="194" spans="12:22" x14ac:dyDescent="0.3">
      <c r="L194" s="93"/>
      <c r="O194" s="134"/>
      <c r="S194" s="91"/>
      <c r="T194" s="91"/>
      <c r="U194" s="91"/>
      <c r="V194" s="140"/>
    </row>
    <row r="195" spans="12:22" x14ac:dyDescent="0.3">
      <c r="L195" s="93"/>
      <c r="O195" s="134"/>
      <c r="S195" s="91"/>
      <c r="T195" s="91"/>
      <c r="U195" s="91"/>
      <c r="V195" s="140"/>
    </row>
    <row r="196" spans="12:22" x14ac:dyDescent="0.3">
      <c r="L196" s="93"/>
      <c r="O196" s="134"/>
      <c r="S196" s="91"/>
      <c r="T196" s="91"/>
      <c r="U196" s="91"/>
      <c r="V196" s="140"/>
    </row>
    <row r="197" spans="12:22" x14ac:dyDescent="0.3">
      <c r="L197" s="93"/>
      <c r="O197" s="134"/>
      <c r="S197" s="91"/>
      <c r="T197" s="91"/>
      <c r="U197" s="91"/>
      <c r="V197" s="140"/>
    </row>
    <row r="198" spans="12:22" x14ac:dyDescent="0.3">
      <c r="L198" s="93"/>
      <c r="O198" s="134"/>
    </row>
    <row r="199" spans="12:22" x14ac:dyDescent="0.3">
      <c r="L199" s="93"/>
      <c r="O199" s="134"/>
    </row>
    <row r="200" spans="12:22" x14ac:dyDescent="0.3">
      <c r="L200" s="93"/>
      <c r="O200" s="134"/>
    </row>
    <row r="201" spans="12:22" x14ac:dyDescent="0.3">
      <c r="L201" s="93"/>
      <c r="O201" s="134"/>
    </row>
    <row r="202" spans="12:22" x14ac:dyDescent="0.3">
      <c r="L202" s="93"/>
      <c r="O202" s="134"/>
    </row>
    <row r="203" spans="12:22" x14ac:dyDescent="0.3">
      <c r="L203" s="93"/>
      <c r="O203" s="134"/>
    </row>
    <row r="204" spans="12:22" x14ac:dyDescent="0.3">
      <c r="L204" s="93"/>
      <c r="O204" s="134"/>
    </row>
    <row r="205" spans="12:22" x14ac:dyDescent="0.3">
      <c r="L205" s="93"/>
      <c r="O205" s="134"/>
    </row>
    <row r="206" spans="12:22" x14ac:dyDescent="0.3">
      <c r="L206" s="93"/>
      <c r="O206" s="134"/>
    </row>
    <row r="207" spans="12:22" x14ac:dyDescent="0.3">
      <c r="L207" s="93"/>
    </row>
    <row r="208" spans="12:22" x14ac:dyDescent="0.3">
      <c r="L208" s="93"/>
    </row>
    <row r="209" spans="12:12" x14ac:dyDescent="0.3">
      <c r="L209" s="93"/>
    </row>
    <row r="210" spans="12:12" x14ac:dyDescent="0.3">
      <c r="L210" s="93"/>
    </row>
    <row r="211" spans="12:12" x14ac:dyDescent="0.3">
      <c r="L211" s="93"/>
    </row>
    <row r="212" spans="12:12" x14ac:dyDescent="0.3">
      <c r="L212" s="93"/>
    </row>
    <row r="213" spans="12:12" x14ac:dyDescent="0.3">
      <c r="L213" s="93"/>
    </row>
    <row r="214" spans="12:12" x14ac:dyDescent="0.3">
      <c r="L214" s="93"/>
    </row>
    <row r="215" spans="12:12" x14ac:dyDescent="0.3">
      <c r="L215" s="93"/>
    </row>
    <row r="216" spans="12:12" x14ac:dyDescent="0.3">
      <c r="L216" s="93"/>
    </row>
    <row r="217" spans="12:12" x14ac:dyDescent="0.3">
      <c r="L217" s="93"/>
    </row>
    <row r="218" spans="12:12" x14ac:dyDescent="0.3">
      <c r="L218" s="93"/>
    </row>
    <row r="219" spans="12:12" x14ac:dyDescent="0.3">
      <c r="L219" s="93"/>
    </row>
    <row r="220" spans="12:12" x14ac:dyDescent="0.3">
      <c r="L220" s="93"/>
    </row>
    <row r="221" spans="12:12" x14ac:dyDescent="0.3">
      <c r="L221" s="93"/>
    </row>
    <row r="222" spans="12:12" x14ac:dyDescent="0.3">
      <c r="L222" s="93"/>
    </row>
    <row r="223" spans="12:12" x14ac:dyDescent="0.3">
      <c r="L223" s="93"/>
    </row>
    <row r="224" spans="12:12" x14ac:dyDescent="0.3">
      <c r="L224" s="93"/>
    </row>
    <row r="225" spans="12:12" x14ac:dyDescent="0.3">
      <c r="L225" s="93"/>
    </row>
    <row r="226" spans="12:12" x14ac:dyDescent="0.3">
      <c r="L226" s="93"/>
    </row>
    <row r="227" spans="12:12" x14ac:dyDescent="0.3">
      <c r="L227" s="93"/>
    </row>
    <row r="228" spans="12:12" x14ac:dyDescent="0.3">
      <c r="L228" s="93"/>
    </row>
    <row r="229" spans="12:12" x14ac:dyDescent="0.3">
      <c r="L229" s="93"/>
    </row>
    <row r="230" spans="12:12" x14ac:dyDescent="0.3">
      <c r="L230" s="93"/>
    </row>
    <row r="231" spans="12:12" x14ac:dyDescent="0.3">
      <c r="L231" s="93"/>
    </row>
    <row r="232" spans="12:12" x14ac:dyDescent="0.3">
      <c r="L232" s="93"/>
    </row>
    <row r="233" spans="12:12" x14ac:dyDescent="0.3">
      <c r="L233" s="93"/>
    </row>
    <row r="234" spans="12:12" x14ac:dyDescent="0.3">
      <c r="L234" s="93"/>
    </row>
    <row r="235" spans="12:12" x14ac:dyDescent="0.3">
      <c r="L235" s="93"/>
    </row>
    <row r="236" spans="12:12" x14ac:dyDescent="0.3">
      <c r="L236" s="93"/>
    </row>
    <row r="237" spans="12:12" x14ac:dyDescent="0.3">
      <c r="L237" s="93"/>
    </row>
    <row r="238" spans="12:12" x14ac:dyDescent="0.3">
      <c r="L238" s="93"/>
    </row>
    <row r="239" spans="12:12" x14ac:dyDescent="0.3">
      <c r="L239" s="93"/>
    </row>
    <row r="240" spans="12:12" x14ac:dyDescent="0.3">
      <c r="L240" s="93"/>
    </row>
    <row r="241" spans="12:12" x14ac:dyDescent="0.3">
      <c r="L241" s="93"/>
    </row>
    <row r="242" spans="12:12" x14ac:dyDescent="0.3">
      <c r="L242" s="93"/>
    </row>
    <row r="243" spans="12:12" x14ac:dyDescent="0.3">
      <c r="L243" s="93"/>
    </row>
    <row r="244" spans="12:12" x14ac:dyDescent="0.3">
      <c r="L244" s="93"/>
    </row>
    <row r="245" spans="12:12" x14ac:dyDescent="0.3">
      <c r="L245" s="93"/>
    </row>
    <row r="246" spans="12:12" x14ac:dyDescent="0.3">
      <c r="L246" s="93"/>
    </row>
    <row r="247" spans="12:12" x14ac:dyDescent="0.3">
      <c r="L247" s="93"/>
    </row>
    <row r="248" spans="12:12" x14ac:dyDescent="0.3">
      <c r="L248" s="93"/>
    </row>
    <row r="249" spans="12:12" x14ac:dyDescent="0.3">
      <c r="L249" s="93"/>
    </row>
    <row r="250" spans="12:12" x14ac:dyDescent="0.3">
      <c r="L250" s="93"/>
    </row>
    <row r="251" spans="12:12" x14ac:dyDescent="0.3">
      <c r="L251" s="93"/>
    </row>
    <row r="252" spans="12:12" x14ac:dyDescent="0.3">
      <c r="L252" s="93"/>
    </row>
    <row r="253" spans="12:12" x14ac:dyDescent="0.3">
      <c r="L253" s="93"/>
    </row>
    <row r="254" spans="12:12" x14ac:dyDescent="0.3">
      <c r="L254" s="93"/>
    </row>
    <row r="255" spans="12:12" x14ac:dyDescent="0.3">
      <c r="L255" s="93"/>
    </row>
    <row r="256" spans="12:12" x14ac:dyDescent="0.3">
      <c r="L256" s="93"/>
    </row>
    <row r="257" spans="12:12" x14ac:dyDescent="0.3">
      <c r="L257" s="93"/>
    </row>
    <row r="258" spans="12:12" x14ac:dyDescent="0.3">
      <c r="L258" s="93"/>
    </row>
    <row r="259" spans="12:12" x14ac:dyDescent="0.3">
      <c r="L259" s="93"/>
    </row>
    <row r="260" spans="12:12" x14ac:dyDescent="0.3">
      <c r="L260" s="93"/>
    </row>
    <row r="261" spans="12:12" x14ac:dyDescent="0.3">
      <c r="L261" s="93"/>
    </row>
    <row r="262" spans="12:12" x14ac:dyDescent="0.3">
      <c r="L262" s="93"/>
    </row>
    <row r="263" spans="12:12" x14ac:dyDescent="0.3">
      <c r="L263" s="93"/>
    </row>
    <row r="264" spans="12:12" x14ac:dyDescent="0.3">
      <c r="L264" s="93"/>
    </row>
    <row r="265" spans="12:12" x14ac:dyDescent="0.3">
      <c r="L265" s="93"/>
    </row>
    <row r="266" spans="12:12" x14ac:dyDescent="0.3">
      <c r="L266" s="93"/>
    </row>
    <row r="267" spans="12:12" x14ac:dyDescent="0.3">
      <c r="L267" s="93"/>
    </row>
    <row r="268" spans="12:12" x14ac:dyDescent="0.3">
      <c r="L268" s="93"/>
    </row>
    <row r="269" spans="12:12" x14ac:dyDescent="0.3">
      <c r="L269" s="93"/>
    </row>
    <row r="270" spans="12:12" x14ac:dyDescent="0.3">
      <c r="L270" s="93"/>
    </row>
    <row r="271" spans="12:12" x14ac:dyDescent="0.3">
      <c r="L271" s="93"/>
    </row>
    <row r="272" spans="12:12" x14ac:dyDescent="0.3">
      <c r="L272" s="93"/>
    </row>
    <row r="273" spans="12:12" x14ac:dyDescent="0.3">
      <c r="L273" s="93"/>
    </row>
    <row r="274" spans="12:12" x14ac:dyDescent="0.3">
      <c r="L274" s="93"/>
    </row>
    <row r="275" spans="12:12" x14ac:dyDescent="0.3">
      <c r="L275" s="93"/>
    </row>
    <row r="276" spans="12:12" x14ac:dyDescent="0.3">
      <c r="L276" s="93"/>
    </row>
    <row r="277" spans="12:12" x14ac:dyDescent="0.3">
      <c r="L277" s="93"/>
    </row>
    <row r="278" spans="12:12" x14ac:dyDescent="0.3">
      <c r="L278" s="93"/>
    </row>
    <row r="279" spans="12:12" x14ac:dyDescent="0.3">
      <c r="L279" s="93"/>
    </row>
    <row r="280" spans="12:12" x14ac:dyDescent="0.3">
      <c r="L280" s="93"/>
    </row>
    <row r="281" spans="12:12" x14ac:dyDescent="0.3">
      <c r="L281" s="93"/>
    </row>
    <row r="282" spans="12:12" x14ac:dyDescent="0.3">
      <c r="L282" s="93"/>
    </row>
    <row r="283" spans="12:12" x14ac:dyDescent="0.3">
      <c r="L283" s="93"/>
    </row>
    <row r="284" spans="12:12" x14ac:dyDescent="0.3">
      <c r="L284" s="93"/>
    </row>
    <row r="285" spans="12:12" x14ac:dyDescent="0.3">
      <c r="L285" s="93"/>
    </row>
    <row r="286" spans="12:12" x14ac:dyDescent="0.3">
      <c r="L286" s="93"/>
    </row>
    <row r="287" spans="12:12" x14ac:dyDescent="0.3">
      <c r="L287" s="93"/>
    </row>
    <row r="288" spans="12:12" x14ac:dyDescent="0.3">
      <c r="L288" s="93"/>
    </row>
    <row r="289" spans="12:12" x14ac:dyDescent="0.3">
      <c r="L289" s="93"/>
    </row>
    <row r="290" spans="12:12" x14ac:dyDescent="0.3">
      <c r="L290" s="93"/>
    </row>
    <row r="291" spans="12:12" x14ac:dyDescent="0.3">
      <c r="L291" s="93"/>
    </row>
    <row r="292" spans="12:12" x14ac:dyDescent="0.3">
      <c r="L292" s="93"/>
    </row>
    <row r="293" spans="12:12" x14ac:dyDescent="0.3">
      <c r="L293" s="93"/>
    </row>
    <row r="294" spans="12:12" x14ac:dyDescent="0.3">
      <c r="L294" s="93"/>
    </row>
    <row r="295" spans="12:12" x14ac:dyDescent="0.3">
      <c r="L295" s="93"/>
    </row>
    <row r="296" spans="12:12" x14ac:dyDescent="0.3">
      <c r="L296" s="93"/>
    </row>
    <row r="297" spans="12:12" x14ac:dyDescent="0.3">
      <c r="L297" s="93"/>
    </row>
    <row r="298" spans="12:12" x14ac:dyDescent="0.3">
      <c r="L298" s="93"/>
    </row>
    <row r="299" spans="12:12" x14ac:dyDescent="0.3">
      <c r="L299" s="93"/>
    </row>
    <row r="300" spans="12:12" x14ac:dyDescent="0.3">
      <c r="L300" s="93"/>
    </row>
    <row r="301" spans="12:12" x14ac:dyDescent="0.3">
      <c r="L301" s="93"/>
    </row>
    <row r="302" spans="12:12" x14ac:dyDescent="0.3">
      <c r="L302" s="93"/>
    </row>
    <row r="303" spans="12:12" x14ac:dyDescent="0.3">
      <c r="L303" s="93"/>
    </row>
    <row r="304" spans="12:12" x14ac:dyDescent="0.3">
      <c r="L304" s="93"/>
    </row>
    <row r="305" spans="12:12" x14ac:dyDescent="0.3">
      <c r="L305" s="93"/>
    </row>
    <row r="306" spans="12:12" x14ac:dyDescent="0.3">
      <c r="L306" s="93"/>
    </row>
    <row r="307" spans="12:12" x14ac:dyDescent="0.3">
      <c r="L307" s="93"/>
    </row>
    <row r="308" spans="12:12" x14ac:dyDescent="0.3">
      <c r="L308" s="93"/>
    </row>
    <row r="309" spans="12:12" x14ac:dyDescent="0.3">
      <c r="L309" s="93"/>
    </row>
    <row r="310" spans="12:12" x14ac:dyDescent="0.3">
      <c r="L310" s="93"/>
    </row>
    <row r="311" spans="12:12" x14ac:dyDescent="0.3">
      <c r="L311" s="93"/>
    </row>
    <row r="312" spans="12:12" x14ac:dyDescent="0.3">
      <c r="L312" s="93"/>
    </row>
    <row r="313" spans="12:12" x14ac:dyDescent="0.3">
      <c r="L313" s="93"/>
    </row>
    <row r="314" spans="12:12" x14ac:dyDescent="0.3">
      <c r="L314" s="93"/>
    </row>
    <row r="315" spans="12:12" x14ac:dyDescent="0.3">
      <c r="L315" s="93"/>
    </row>
    <row r="316" spans="12:12" x14ac:dyDescent="0.3">
      <c r="L316" s="93"/>
    </row>
    <row r="317" spans="12:12" x14ac:dyDescent="0.3">
      <c r="L317" s="93"/>
    </row>
    <row r="318" spans="12:12" x14ac:dyDescent="0.3">
      <c r="L318" s="93"/>
    </row>
    <row r="319" spans="12:12" x14ac:dyDescent="0.3">
      <c r="L319" s="93"/>
    </row>
    <row r="320" spans="12:12" x14ac:dyDescent="0.3">
      <c r="L320" s="93"/>
    </row>
    <row r="321" spans="12:12" x14ac:dyDescent="0.3">
      <c r="L321" s="93"/>
    </row>
    <row r="322" spans="12:12" x14ac:dyDescent="0.3">
      <c r="L322" s="93"/>
    </row>
    <row r="323" spans="12:12" x14ac:dyDescent="0.3">
      <c r="L323" s="93"/>
    </row>
    <row r="324" spans="12:12" x14ac:dyDescent="0.3">
      <c r="L324" s="93"/>
    </row>
    <row r="325" spans="12:12" x14ac:dyDescent="0.3">
      <c r="L325" s="93"/>
    </row>
    <row r="326" spans="12:12" x14ac:dyDescent="0.3">
      <c r="L326" s="93"/>
    </row>
    <row r="327" spans="12:12" x14ac:dyDescent="0.3">
      <c r="L327" s="93"/>
    </row>
    <row r="328" spans="12:12" x14ac:dyDescent="0.3">
      <c r="L328" s="93"/>
    </row>
    <row r="329" spans="12:12" x14ac:dyDescent="0.3">
      <c r="L329" s="93"/>
    </row>
    <row r="330" spans="12:12" x14ac:dyDescent="0.3">
      <c r="L330" s="93"/>
    </row>
    <row r="331" spans="12:12" x14ac:dyDescent="0.3">
      <c r="L331" s="93"/>
    </row>
    <row r="332" spans="12:12" x14ac:dyDescent="0.3">
      <c r="L332" s="93"/>
    </row>
    <row r="333" spans="12:12" x14ac:dyDescent="0.3">
      <c r="L333" s="93"/>
    </row>
    <row r="334" spans="12:12" x14ac:dyDescent="0.3">
      <c r="L334" s="93"/>
    </row>
    <row r="335" spans="12:12" x14ac:dyDescent="0.3">
      <c r="L335" s="93"/>
    </row>
    <row r="336" spans="12:12" x14ac:dyDescent="0.3">
      <c r="L336" s="93"/>
    </row>
    <row r="337" spans="12:12" x14ac:dyDescent="0.3">
      <c r="L337" s="93"/>
    </row>
    <row r="338" spans="12:12" x14ac:dyDescent="0.3">
      <c r="L338" s="93"/>
    </row>
    <row r="339" spans="12:12" x14ac:dyDescent="0.3">
      <c r="L339" s="93"/>
    </row>
    <row r="340" spans="12:12" x14ac:dyDescent="0.3">
      <c r="L340" s="93"/>
    </row>
    <row r="341" spans="12:12" x14ac:dyDescent="0.3">
      <c r="L341" s="93"/>
    </row>
    <row r="342" spans="12:12" x14ac:dyDescent="0.3">
      <c r="L342" s="93"/>
    </row>
    <row r="343" spans="12:12" x14ac:dyDescent="0.3">
      <c r="L343" s="93"/>
    </row>
    <row r="344" spans="12:12" x14ac:dyDescent="0.3">
      <c r="L344" s="93"/>
    </row>
    <row r="345" spans="12:12" x14ac:dyDescent="0.3">
      <c r="L345" s="93"/>
    </row>
    <row r="346" spans="12:12" x14ac:dyDescent="0.3">
      <c r="L346" s="93"/>
    </row>
    <row r="347" spans="12:12" x14ac:dyDescent="0.3">
      <c r="L347" s="93"/>
    </row>
    <row r="348" spans="12:12" x14ac:dyDescent="0.3">
      <c r="L348" s="93"/>
    </row>
    <row r="349" spans="12:12" x14ac:dyDescent="0.3">
      <c r="L349" s="93"/>
    </row>
    <row r="350" spans="12:12" x14ac:dyDescent="0.3">
      <c r="L350" s="93"/>
    </row>
    <row r="351" spans="12:12" x14ac:dyDescent="0.3">
      <c r="L351" s="93"/>
    </row>
    <row r="352" spans="12:12" x14ac:dyDescent="0.3">
      <c r="L352" s="93"/>
    </row>
    <row r="353" spans="12:12" x14ac:dyDescent="0.3">
      <c r="L353" s="93"/>
    </row>
    <row r="354" spans="12:12" x14ac:dyDescent="0.3">
      <c r="L354" s="93"/>
    </row>
    <row r="355" spans="12:12" x14ac:dyDescent="0.3">
      <c r="L355" s="93"/>
    </row>
    <row r="356" spans="12:12" x14ac:dyDescent="0.3">
      <c r="L356" s="93"/>
    </row>
    <row r="357" spans="12:12" x14ac:dyDescent="0.3">
      <c r="L357" s="93"/>
    </row>
    <row r="358" spans="12:12" x14ac:dyDescent="0.3">
      <c r="L358" s="93"/>
    </row>
    <row r="359" spans="12:12" x14ac:dyDescent="0.3">
      <c r="L359" s="93"/>
    </row>
    <row r="360" spans="12:12" x14ac:dyDescent="0.3">
      <c r="L360" s="93"/>
    </row>
    <row r="361" spans="12:12" x14ac:dyDescent="0.3">
      <c r="L361" s="93"/>
    </row>
    <row r="362" spans="12:12" x14ac:dyDescent="0.3">
      <c r="L362" s="93"/>
    </row>
    <row r="363" spans="12:12" x14ac:dyDescent="0.3">
      <c r="L363" s="93"/>
    </row>
    <row r="364" spans="12:12" x14ac:dyDescent="0.3">
      <c r="L364" s="93"/>
    </row>
    <row r="365" spans="12:12" x14ac:dyDescent="0.3">
      <c r="L365" s="93"/>
    </row>
    <row r="366" spans="12:12" x14ac:dyDescent="0.3">
      <c r="L366" s="93"/>
    </row>
    <row r="367" spans="12:12" x14ac:dyDescent="0.3">
      <c r="L367" s="93"/>
    </row>
    <row r="368" spans="12:12" x14ac:dyDescent="0.3">
      <c r="L368" s="93"/>
    </row>
    <row r="369" spans="12:12" x14ac:dyDescent="0.3">
      <c r="L369" s="93"/>
    </row>
    <row r="370" spans="12:12" x14ac:dyDescent="0.3">
      <c r="L370" s="93"/>
    </row>
    <row r="371" spans="12:12" x14ac:dyDescent="0.3">
      <c r="L371" s="93"/>
    </row>
    <row r="372" spans="12:12" x14ac:dyDescent="0.3">
      <c r="L372" s="93"/>
    </row>
    <row r="373" spans="12:12" x14ac:dyDescent="0.3">
      <c r="L373" s="93"/>
    </row>
    <row r="374" spans="12:12" x14ac:dyDescent="0.3">
      <c r="L374" s="93"/>
    </row>
    <row r="375" spans="12:12" x14ac:dyDescent="0.3">
      <c r="L375" s="93"/>
    </row>
    <row r="376" spans="12:12" x14ac:dyDescent="0.3">
      <c r="L376" s="93"/>
    </row>
    <row r="377" spans="12:12" x14ac:dyDescent="0.3">
      <c r="L377" s="93"/>
    </row>
    <row r="378" spans="12:12" x14ac:dyDescent="0.3">
      <c r="L378" s="93"/>
    </row>
    <row r="379" spans="12:12" x14ac:dyDescent="0.3">
      <c r="L379" s="93"/>
    </row>
    <row r="380" spans="12:12" x14ac:dyDescent="0.3">
      <c r="L380" s="93"/>
    </row>
    <row r="381" spans="12:12" x14ac:dyDescent="0.3">
      <c r="L381" s="93"/>
    </row>
    <row r="382" spans="12:12" x14ac:dyDescent="0.3">
      <c r="L382" s="93"/>
    </row>
    <row r="383" spans="12:12" x14ac:dyDescent="0.3">
      <c r="L383" s="93"/>
    </row>
    <row r="384" spans="12:12" x14ac:dyDescent="0.3">
      <c r="L384" s="93"/>
    </row>
    <row r="385" spans="12:12" x14ac:dyDescent="0.3">
      <c r="L385" s="93"/>
    </row>
    <row r="386" spans="12:12" x14ac:dyDescent="0.3">
      <c r="L386" s="93"/>
    </row>
    <row r="387" spans="12:12" x14ac:dyDescent="0.3">
      <c r="L387" s="93"/>
    </row>
    <row r="388" spans="12:12" x14ac:dyDescent="0.3">
      <c r="L388" s="93"/>
    </row>
    <row r="389" spans="12:12" x14ac:dyDescent="0.3">
      <c r="L389" s="93"/>
    </row>
    <row r="390" spans="12:12" x14ac:dyDescent="0.3">
      <c r="L390" s="93"/>
    </row>
    <row r="391" spans="12:12" x14ac:dyDescent="0.3">
      <c r="L391" s="93"/>
    </row>
    <row r="392" spans="12:12" x14ac:dyDescent="0.3">
      <c r="L392" s="93"/>
    </row>
    <row r="393" spans="12:12" x14ac:dyDescent="0.3">
      <c r="L393" s="93"/>
    </row>
    <row r="394" spans="12:12" x14ac:dyDescent="0.3">
      <c r="L394" s="93"/>
    </row>
    <row r="395" spans="12:12" x14ac:dyDescent="0.3">
      <c r="L395" s="93"/>
    </row>
    <row r="396" spans="12:12" x14ac:dyDescent="0.3">
      <c r="L396" s="93"/>
    </row>
    <row r="397" spans="12:12" x14ac:dyDescent="0.3">
      <c r="L397" s="93"/>
    </row>
    <row r="398" spans="12:12" x14ac:dyDescent="0.3">
      <c r="L398" s="93"/>
    </row>
    <row r="399" spans="12:12" x14ac:dyDescent="0.3">
      <c r="L399" s="93"/>
    </row>
    <row r="400" spans="12:12" x14ac:dyDescent="0.3">
      <c r="L400" s="93"/>
    </row>
    <row r="401" spans="12:12" x14ac:dyDescent="0.3">
      <c r="L401" s="93"/>
    </row>
    <row r="402" spans="12:12" x14ac:dyDescent="0.3">
      <c r="L402" s="93"/>
    </row>
    <row r="403" spans="12:12" x14ac:dyDescent="0.3">
      <c r="L403" s="93"/>
    </row>
    <row r="404" spans="12:12" x14ac:dyDescent="0.3">
      <c r="L404" s="93"/>
    </row>
    <row r="405" spans="12:12" x14ac:dyDescent="0.3">
      <c r="L405" s="93"/>
    </row>
    <row r="406" spans="12:12" x14ac:dyDescent="0.3">
      <c r="L406" s="93"/>
    </row>
    <row r="407" spans="12:12" x14ac:dyDescent="0.3">
      <c r="L407" s="93"/>
    </row>
    <row r="408" spans="12:12" x14ac:dyDescent="0.3">
      <c r="L408" s="93"/>
    </row>
    <row r="409" spans="12:12" x14ac:dyDescent="0.3">
      <c r="L409" s="93"/>
    </row>
    <row r="410" spans="12:12" x14ac:dyDescent="0.3">
      <c r="L410" s="93"/>
    </row>
    <row r="411" spans="12:12" x14ac:dyDescent="0.3">
      <c r="L411" s="93"/>
    </row>
    <row r="412" spans="12:12" x14ac:dyDescent="0.3">
      <c r="L412" s="93"/>
    </row>
    <row r="413" spans="12:12" x14ac:dyDescent="0.3">
      <c r="L413" s="93"/>
    </row>
    <row r="414" spans="12:12" x14ac:dyDescent="0.3">
      <c r="L414" s="93"/>
    </row>
    <row r="415" spans="12:12" x14ac:dyDescent="0.3">
      <c r="L415" s="93"/>
    </row>
    <row r="416" spans="12:12" x14ac:dyDescent="0.3">
      <c r="L416" s="93"/>
    </row>
    <row r="417" spans="12:12" x14ac:dyDescent="0.3">
      <c r="L417" s="93"/>
    </row>
    <row r="418" spans="12:12" x14ac:dyDescent="0.3">
      <c r="L418" s="93"/>
    </row>
    <row r="419" spans="12:12" x14ac:dyDescent="0.3">
      <c r="L419" s="93"/>
    </row>
    <row r="420" spans="12:12" x14ac:dyDescent="0.3">
      <c r="L420" s="93"/>
    </row>
    <row r="421" spans="12:12" x14ac:dyDescent="0.3">
      <c r="L421" s="93"/>
    </row>
    <row r="422" spans="12:12" x14ac:dyDescent="0.3">
      <c r="L422" s="93"/>
    </row>
    <row r="423" spans="12:12" x14ac:dyDescent="0.3">
      <c r="L423" s="93"/>
    </row>
    <row r="424" spans="12:12" x14ac:dyDescent="0.3">
      <c r="L424" s="93"/>
    </row>
    <row r="425" spans="12:12" x14ac:dyDescent="0.3">
      <c r="L425" s="93"/>
    </row>
    <row r="426" spans="12:12" x14ac:dyDescent="0.3">
      <c r="L426" s="93"/>
    </row>
    <row r="427" spans="12:12" x14ac:dyDescent="0.3">
      <c r="L427" s="93"/>
    </row>
    <row r="428" spans="12:12" x14ac:dyDescent="0.3">
      <c r="L428" s="93"/>
    </row>
    <row r="429" spans="12:12" x14ac:dyDescent="0.3">
      <c r="L429" s="93"/>
    </row>
    <row r="430" spans="12:12" x14ac:dyDescent="0.3">
      <c r="L430" s="93"/>
    </row>
    <row r="431" spans="12:12" x14ac:dyDescent="0.3">
      <c r="L431" s="93"/>
    </row>
    <row r="432" spans="12:12" x14ac:dyDescent="0.3">
      <c r="L432" s="93"/>
    </row>
    <row r="433" spans="12:12" x14ac:dyDescent="0.3">
      <c r="L433" s="93"/>
    </row>
    <row r="434" spans="12:12" x14ac:dyDescent="0.3">
      <c r="L434" s="93"/>
    </row>
    <row r="435" spans="12:12" x14ac:dyDescent="0.3">
      <c r="L435" s="93"/>
    </row>
    <row r="436" spans="12:12" x14ac:dyDescent="0.3">
      <c r="L436" s="93"/>
    </row>
    <row r="437" spans="12:12" x14ac:dyDescent="0.3">
      <c r="L437" s="93"/>
    </row>
    <row r="438" spans="12:12" x14ac:dyDescent="0.3">
      <c r="L438" s="93"/>
    </row>
    <row r="439" spans="12:12" x14ac:dyDescent="0.3">
      <c r="L439" s="93"/>
    </row>
    <row r="440" spans="12:12" x14ac:dyDescent="0.3">
      <c r="L440" s="93"/>
    </row>
    <row r="441" spans="12:12" x14ac:dyDescent="0.3">
      <c r="L441" s="93"/>
    </row>
    <row r="442" spans="12:12" x14ac:dyDescent="0.3">
      <c r="L442" s="93"/>
    </row>
    <row r="443" spans="12:12" x14ac:dyDescent="0.3">
      <c r="L443" s="93"/>
    </row>
    <row r="444" spans="12:12" x14ac:dyDescent="0.3">
      <c r="L444" s="93"/>
    </row>
    <row r="445" spans="12:12" x14ac:dyDescent="0.3">
      <c r="L445" s="93"/>
    </row>
    <row r="446" spans="12:12" x14ac:dyDescent="0.3">
      <c r="L446" s="93"/>
    </row>
    <row r="447" spans="12:12" x14ac:dyDescent="0.3">
      <c r="L447" s="93"/>
    </row>
    <row r="448" spans="12:12" x14ac:dyDescent="0.3">
      <c r="L448" s="93"/>
    </row>
    <row r="449" spans="12:12" x14ac:dyDescent="0.3">
      <c r="L449" s="93"/>
    </row>
    <row r="450" spans="12:12" x14ac:dyDescent="0.3">
      <c r="L450" s="93"/>
    </row>
    <row r="451" spans="12:12" x14ac:dyDescent="0.3">
      <c r="L451" s="93"/>
    </row>
    <row r="452" spans="12:12" x14ac:dyDescent="0.3">
      <c r="L452" s="93"/>
    </row>
    <row r="453" spans="12:12" x14ac:dyDescent="0.3">
      <c r="L453" s="93"/>
    </row>
    <row r="454" spans="12:12" x14ac:dyDescent="0.3">
      <c r="L454" s="93"/>
    </row>
    <row r="455" spans="12:12" x14ac:dyDescent="0.3">
      <c r="L455" s="93"/>
    </row>
    <row r="456" spans="12:12" x14ac:dyDescent="0.3">
      <c r="L456" s="93"/>
    </row>
    <row r="457" spans="12:12" x14ac:dyDescent="0.3">
      <c r="L457" s="93"/>
    </row>
    <row r="458" spans="12:12" x14ac:dyDescent="0.3">
      <c r="L458" s="93"/>
    </row>
    <row r="459" spans="12:12" x14ac:dyDescent="0.3">
      <c r="L459" s="93"/>
    </row>
    <row r="460" spans="12:12" x14ac:dyDescent="0.3">
      <c r="L460" s="93"/>
    </row>
    <row r="461" spans="12:12" x14ac:dyDescent="0.3">
      <c r="L461" s="93"/>
    </row>
    <row r="462" spans="12:12" x14ac:dyDescent="0.3">
      <c r="L462" s="93"/>
    </row>
    <row r="463" spans="12:12" x14ac:dyDescent="0.3">
      <c r="L463" s="93"/>
    </row>
    <row r="464" spans="12:12" x14ac:dyDescent="0.3">
      <c r="L464" s="93"/>
    </row>
    <row r="465" spans="12:12" x14ac:dyDescent="0.3">
      <c r="L465" s="93"/>
    </row>
    <row r="466" spans="12:12" x14ac:dyDescent="0.3">
      <c r="L466" s="93"/>
    </row>
    <row r="467" spans="12:12" x14ac:dyDescent="0.3">
      <c r="L467" s="93"/>
    </row>
    <row r="468" spans="12:12" x14ac:dyDescent="0.3">
      <c r="L468" s="93"/>
    </row>
    <row r="469" spans="12:12" x14ac:dyDescent="0.3">
      <c r="L469" s="93"/>
    </row>
    <row r="470" spans="12:12" x14ac:dyDescent="0.3">
      <c r="L470" s="93"/>
    </row>
    <row r="471" spans="12:12" x14ac:dyDescent="0.3">
      <c r="L471" s="93"/>
    </row>
    <row r="472" spans="12:12" x14ac:dyDescent="0.3">
      <c r="L472" s="93"/>
    </row>
    <row r="473" spans="12:12" x14ac:dyDescent="0.3">
      <c r="L473" s="93"/>
    </row>
    <row r="474" spans="12:12" x14ac:dyDescent="0.3">
      <c r="L474" s="93"/>
    </row>
    <row r="475" spans="12:12" x14ac:dyDescent="0.3">
      <c r="L475" s="93"/>
    </row>
    <row r="476" spans="12:12" x14ac:dyDescent="0.3">
      <c r="L476" s="93"/>
    </row>
    <row r="477" spans="12:12" x14ac:dyDescent="0.3">
      <c r="L477" s="93"/>
    </row>
    <row r="478" spans="12:12" x14ac:dyDescent="0.3">
      <c r="L478" s="93"/>
    </row>
    <row r="479" spans="12:12" x14ac:dyDescent="0.3">
      <c r="L479" s="93"/>
    </row>
    <row r="480" spans="12:12" x14ac:dyDescent="0.3">
      <c r="L480" s="93"/>
    </row>
    <row r="481" spans="12:12" x14ac:dyDescent="0.3">
      <c r="L481" s="93"/>
    </row>
    <row r="482" spans="12:12" x14ac:dyDescent="0.3">
      <c r="L482" s="93"/>
    </row>
    <row r="483" spans="12:12" x14ac:dyDescent="0.3">
      <c r="L483" s="93"/>
    </row>
    <row r="484" spans="12:12" x14ac:dyDescent="0.3">
      <c r="L484" s="93"/>
    </row>
    <row r="485" spans="12:12" x14ac:dyDescent="0.3">
      <c r="L485" s="93"/>
    </row>
    <row r="486" spans="12:12" x14ac:dyDescent="0.3">
      <c r="L486" s="93"/>
    </row>
    <row r="487" spans="12:12" x14ac:dyDescent="0.3">
      <c r="L487" s="93"/>
    </row>
    <row r="488" spans="12:12" x14ac:dyDescent="0.3">
      <c r="L488" s="93"/>
    </row>
    <row r="489" spans="12:12" x14ac:dyDescent="0.3">
      <c r="L489" s="93"/>
    </row>
    <row r="490" spans="12:12" x14ac:dyDescent="0.3">
      <c r="L490" s="93"/>
    </row>
    <row r="491" spans="12:12" x14ac:dyDescent="0.3">
      <c r="L491" s="93"/>
    </row>
    <row r="492" spans="12:12" x14ac:dyDescent="0.3">
      <c r="L492" s="93"/>
    </row>
    <row r="493" spans="12:12" x14ac:dyDescent="0.3">
      <c r="L493" s="93"/>
    </row>
    <row r="494" spans="12:12" x14ac:dyDescent="0.3">
      <c r="L494" s="93"/>
    </row>
    <row r="495" spans="12:12" x14ac:dyDescent="0.3">
      <c r="L495" s="93"/>
    </row>
    <row r="496" spans="12:12" x14ac:dyDescent="0.3">
      <c r="L496" s="93"/>
    </row>
    <row r="497" spans="12:12" x14ac:dyDescent="0.3">
      <c r="L497" s="93"/>
    </row>
    <row r="498" spans="12:12" x14ac:dyDescent="0.3">
      <c r="L498" s="93"/>
    </row>
    <row r="499" spans="12:12" x14ac:dyDescent="0.3">
      <c r="L499" s="93"/>
    </row>
    <row r="500" spans="12:12" x14ac:dyDescent="0.3">
      <c r="L500" s="93"/>
    </row>
    <row r="501" spans="12:12" x14ac:dyDescent="0.3">
      <c r="L501" s="93"/>
    </row>
    <row r="502" spans="12:12" x14ac:dyDescent="0.3">
      <c r="L502" s="93"/>
    </row>
    <row r="503" spans="12:12" x14ac:dyDescent="0.3">
      <c r="L503" s="93"/>
    </row>
    <row r="504" spans="12:12" x14ac:dyDescent="0.3">
      <c r="L504" s="93"/>
    </row>
    <row r="505" spans="12:12" x14ac:dyDescent="0.3">
      <c r="L505" s="93"/>
    </row>
    <row r="506" spans="12:12" x14ac:dyDescent="0.3">
      <c r="L506" s="93"/>
    </row>
    <row r="507" spans="12:12" x14ac:dyDescent="0.3">
      <c r="L507" s="93"/>
    </row>
    <row r="508" spans="12:12" x14ac:dyDescent="0.3">
      <c r="L508" s="93"/>
    </row>
    <row r="509" spans="12:12" x14ac:dyDescent="0.3">
      <c r="L509" s="93"/>
    </row>
    <row r="510" spans="12:12" x14ac:dyDescent="0.3">
      <c r="L510" s="93"/>
    </row>
    <row r="511" spans="12:12" x14ac:dyDescent="0.3">
      <c r="L511" s="93"/>
    </row>
    <row r="512" spans="12:12" x14ac:dyDescent="0.3">
      <c r="L512" s="93"/>
    </row>
    <row r="513" spans="12:12" x14ac:dyDescent="0.3">
      <c r="L513" s="93"/>
    </row>
    <row r="514" spans="12:12" x14ac:dyDescent="0.3">
      <c r="L514" s="93"/>
    </row>
    <row r="515" spans="12:12" x14ac:dyDescent="0.3">
      <c r="L515" s="93"/>
    </row>
    <row r="516" spans="12:12" x14ac:dyDescent="0.3">
      <c r="L516" s="93"/>
    </row>
    <row r="517" spans="12:12" x14ac:dyDescent="0.3">
      <c r="L517" s="93"/>
    </row>
    <row r="518" spans="12:12" x14ac:dyDescent="0.3">
      <c r="L518" s="93"/>
    </row>
    <row r="519" spans="12:12" x14ac:dyDescent="0.3">
      <c r="L519" s="93"/>
    </row>
    <row r="520" spans="12:12" x14ac:dyDescent="0.3">
      <c r="L520" s="93"/>
    </row>
    <row r="521" spans="12:12" x14ac:dyDescent="0.3">
      <c r="L521" s="93"/>
    </row>
    <row r="522" spans="12:12" x14ac:dyDescent="0.3">
      <c r="L522" s="93"/>
    </row>
    <row r="523" spans="12:12" x14ac:dyDescent="0.3">
      <c r="L523" s="93"/>
    </row>
    <row r="524" spans="12:12" x14ac:dyDescent="0.3">
      <c r="L524" s="93"/>
    </row>
    <row r="525" spans="12:12" x14ac:dyDescent="0.3">
      <c r="L525" s="93"/>
    </row>
    <row r="526" spans="12:12" x14ac:dyDescent="0.3">
      <c r="L526" s="93"/>
    </row>
    <row r="527" spans="12:12" x14ac:dyDescent="0.3">
      <c r="L527" s="93"/>
    </row>
    <row r="528" spans="12:12" x14ac:dyDescent="0.3">
      <c r="L528" s="93"/>
    </row>
    <row r="529" spans="12:12" x14ac:dyDescent="0.3">
      <c r="L529" s="93"/>
    </row>
    <row r="530" spans="12:12" x14ac:dyDescent="0.3">
      <c r="L530" s="93"/>
    </row>
  </sheetData>
  <mergeCells count="1">
    <mergeCell ref="K2:L2"/>
  </mergeCells>
  <phoneticPr fontId="16" type="noConversion"/>
  <dataValidations count="2">
    <dataValidation type="list" allowBlank="1" showInputMessage="1" showErrorMessage="1" sqref="L9" xr:uid="{11ABAC57-D9B6-4790-9B56-4D67019D8744}">
      <formula1>persone_lista</formula1>
    </dataValidation>
    <dataValidation type="list" allowBlank="1" showInputMessage="1" showErrorMessage="1" sqref="L8" xr:uid="{59801982-4544-43E7-9296-C72BD6B0B705}">
      <formula1>carte_lista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InserimentoRimborsi">
                <anchor>
                  <from>
                    <xdr:col>9</xdr:col>
                    <xdr:colOff>449580</xdr:colOff>
                    <xdr:row>9</xdr:row>
                    <xdr:rowOff>121920</xdr:rowOff>
                  </from>
                  <to>
                    <xdr:col>11</xdr:col>
                    <xdr:colOff>1303020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FC1FC-873C-4E3A-B822-845766269A6E}">
  <sheetPr codeName="Foglio5">
    <tabColor theme="3" tint="9.9978637043366805E-2"/>
  </sheetPr>
  <dimension ref="B1:K24"/>
  <sheetViews>
    <sheetView topLeftCell="B1" zoomScale="85" zoomScaleNormal="85" workbookViewId="0">
      <selection activeCell="K22" sqref="K22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33.6640625" style="1" customWidth="1"/>
    <col min="6" max="6" width="13.21875" style="1" bestFit="1" customWidth="1"/>
    <col min="7" max="7" width="13.33203125" style="1" bestFit="1" customWidth="1"/>
    <col min="8" max="8" width="7.6640625" style="1" customWidth="1"/>
    <col min="9" max="9" width="23.44140625" style="1" customWidth="1"/>
    <col min="10" max="10" width="17.21875" style="1" customWidth="1"/>
    <col min="11" max="11" width="15.5546875" style="1" customWidth="1"/>
    <col min="12" max="12" width="9.109375" style="1" customWidth="1"/>
    <col min="13" max="13" width="9.6640625" style="1" customWidth="1"/>
    <col min="14" max="16" width="8.88671875" style="1"/>
    <col min="17" max="17" width="8.88671875" style="1" customWidth="1"/>
    <col min="18" max="16384" width="8.88671875" style="1"/>
  </cols>
  <sheetData>
    <row r="1" spans="2:11" ht="15" thickBot="1" x14ac:dyDescent="0.35"/>
    <row r="2" spans="2:11" ht="15" thickBot="1" x14ac:dyDescent="0.35">
      <c r="I2" s="191" t="s">
        <v>150</v>
      </c>
      <c r="J2" s="192"/>
    </row>
    <row r="3" spans="2:11" x14ac:dyDescent="0.3">
      <c r="I3" s="80" t="s">
        <v>17</v>
      </c>
      <c r="J3" s="69">
        <v>45941</v>
      </c>
    </row>
    <row r="4" spans="2:11" x14ac:dyDescent="0.3">
      <c r="I4" s="81" t="s">
        <v>18</v>
      </c>
      <c r="J4" s="70" t="str">
        <f>_xlfn.XLOOKUP(MONTH(J3),tbl_mesi[n],tbl_mesi[mese])</f>
        <v>ottobre</v>
      </c>
    </row>
    <row r="5" spans="2:11" x14ac:dyDescent="0.3">
      <c r="I5" s="81" t="s">
        <v>21</v>
      </c>
      <c r="J5" s="71"/>
      <c r="K5" s="67">
        <v>-1</v>
      </c>
    </row>
    <row r="6" spans="2:11" x14ac:dyDescent="0.3">
      <c r="I6" s="81" t="s">
        <v>22</v>
      </c>
      <c r="J6" s="244"/>
      <c r="K6" s="68">
        <f>J5*K5</f>
        <v>0</v>
      </c>
    </row>
    <row r="7" spans="2:11" x14ac:dyDescent="0.3">
      <c r="I7" s="81" t="s">
        <v>173</v>
      </c>
      <c r="J7" s="27" t="s">
        <v>169</v>
      </c>
    </row>
    <row r="8" spans="2:11" ht="15" thickBot="1" x14ac:dyDescent="0.35">
      <c r="I8" s="82" t="s">
        <v>175</v>
      </c>
      <c r="J8" s="72" t="s">
        <v>157</v>
      </c>
    </row>
    <row r="11" spans="2:11" x14ac:dyDescent="0.3">
      <c r="B11" s="2" t="s">
        <v>0</v>
      </c>
      <c r="C11" s="2" t="s">
        <v>1</v>
      </c>
      <c r="D11" s="2" t="s">
        <v>3</v>
      </c>
      <c r="E11" s="2" t="s">
        <v>4</v>
      </c>
      <c r="F11" s="2" t="s">
        <v>174</v>
      </c>
      <c r="G11" s="2" t="s">
        <v>176</v>
      </c>
    </row>
    <row r="12" spans="2:11" x14ac:dyDescent="0.3">
      <c r="B12" s="231">
        <v>45941</v>
      </c>
      <c r="C12" s="210" t="s">
        <v>15</v>
      </c>
      <c r="D12" s="213">
        <v>100</v>
      </c>
      <c r="E12" s="232" t="s">
        <v>86</v>
      </c>
      <c r="F12" s="74" t="s">
        <v>169</v>
      </c>
      <c r="G12" s="74" t="s">
        <v>157</v>
      </c>
    </row>
    <row r="13" spans="2:11" x14ac:dyDescent="0.3">
      <c r="B13" s="15">
        <v>45658</v>
      </c>
      <c r="C13" s="3" t="s">
        <v>5</v>
      </c>
      <c r="D13" s="36"/>
      <c r="E13" s="16"/>
      <c r="F13" s="74"/>
      <c r="G13" s="74"/>
    </row>
    <row r="14" spans="2:11" x14ac:dyDescent="0.3">
      <c r="B14" s="15">
        <v>45689</v>
      </c>
      <c r="C14" s="3" t="s">
        <v>6</v>
      </c>
      <c r="D14" s="36"/>
      <c r="E14" s="16"/>
      <c r="F14" s="74"/>
      <c r="G14" s="74"/>
    </row>
    <row r="15" spans="2:11" x14ac:dyDescent="0.3">
      <c r="B15" s="15">
        <v>45717</v>
      </c>
      <c r="C15" s="3" t="s">
        <v>8</v>
      </c>
      <c r="D15" s="36"/>
      <c r="E15" s="16"/>
      <c r="F15" s="74"/>
      <c r="G15" s="74"/>
    </row>
    <row r="16" spans="2:11" x14ac:dyDescent="0.3">
      <c r="B16" s="15">
        <v>45748</v>
      </c>
      <c r="C16" s="3" t="s">
        <v>9</v>
      </c>
      <c r="D16" s="36"/>
      <c r="E16" s="16"/>
      <c r="F16" s="74"/>
      <c r="G16" s="74"/>
    </row>
    <row r="17" spans="2:7" x14ac:dyDescent="0.3">
      <c r="B17" s="15">
        <v>45778</v>
      </c>
      <c r="C17" s="3" t="s">
        <v>10</v>
      </c>
      <c r="D17" s="36"/>
      <c r="E17" s="16"/>
      <c r="F17" s="74"/>
      <c r="G17" s="74"/>
    </row>
    <row r="18" spans="2:7" x14ac:dyDescent="0.3">
      <c r="B18" s="15">
        <v>45809</v>
      </c>
      <c r="C18" s="3" t="s">
        <v>11</v>
      </c>
      <c r="D18" s="36"/>
      <c r="E18" s="16"/>
      <c r="F18" s="74"/>
      <c r="G18" s="74"/>
    </row>
    <row r="19" spans="2:7" x14ac:dyDescent="0.3">
      <c r="B19" s="15">
        <v>45839</v>
      </c>
      <c r="C19" s="3" t="s">
        <v>12</v>
      </c>
      <c r="D19" s="36"/>
      <c r="E19" s="16"/>
      <c r="F19" s="74"/>
      <c r="G19" s="74"/>
    </row>
    <row r="20" spans="2:7" x14ac:dyDescent="0.3">
      <c r="B20" s="15">
        <v>45870</v>
      </c>
      <c r="C20" s="3" t="s">
        <v>13</v>
      </c>
      <c r="D20" s="36"/>
      <c r="E20" s="16"/>
      <c r="F20" s="74"/>
      <c r="G20" s="74"/>
    </row>
    <row r="21" spans="2:7" x14ac:dyDescent="0.3">
      <c r="B21" s="15">
        <v>45901</v>
      </c>
      <c r="C21" s="3" t="s">
        <v>14</v>
      </c>
      <c r="D21" s="36"/>
      <c r="E21" s="16"/>
      <c r="F21" s="74"/>
      <c r="G21" s="74"/>
    </row>
    <row r="22" spans="2:7" x14ac:dyDescent="0.3">
      <c r="B22" s="15">
        <v>45931</v>
      </c>
      <c r="C22" s="3" t="s">
        <v>15</v>
      </c>
      <c r="D22" s="36"/>
      <c r="E22" s="16"/>
      <c r="F22" s="74"/>
      <c r="G22" s="74"/>
    </row>
    <row r="23" spans="2:7" x14ac:dyDescent="0.3">
      <c r="B23" s="15">
        <v>45962</v>
      </c>
      <c r="C23" s="3" t="s">
        <v>16</v>
      </c>
      <c r="D23" s="36"/>
      <c r="E23" s="16"/>
      <c r="F23" s="74"/>
      <c r="G23" s="74"/>
    </row>
    <row r="24" spans="2:7" x14ac:dyDescent="0.3">
      <c r="B24" s="15">
        <v>45992</v>
      </c>
      <c r="C24" s="3" t="s">
        <v>7</v>
      </c>
      <c r="D24" s="36"/>
      <c r="E24" s="16"/>
      <c r="F24" s="74"/>
      <c r="G24" s="74"/>
    </row>
  </sheetData>
  <mergeCells count="1">
    <mergeCell ref="I2:J2"/>
  </mergeCells>
  <phoneticPr fontId="16" type="noConversion"/>
  <dataValidations count="2">
    <dataValidation type="list" allowBlank="1" showInputMessage="1" showErrorMessage="1" sqref="J7" xr:uid="{DC682EA0-1A13-4319-9212-95B8F524A27D}">
      <formula1>carte_lista</formula1>
    </dataValidation>
    <dataValidation type="list" allowBlank="1" showInputMessage="1" showErrorMessage="1" sqref="J8" xr:uid="{DC186E5A-6CB9-4C41-BF13-F9BB23D62712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InserireRisparmi">
                <anchor>
                  <from>
                    <xdr:col>7</xdr:col>
                    <xdr:colOff>449580</xdr:colOff>
                    <xdr:row>8</xdr:row>
                    <xdr:rowOff>99060</xdr:rowOff>
                  </from>
                  <to>
                    <xdr:col>10</xdr:col>
                    <xdr:colOff>45720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ttrarreRisparmi">
                <anchor>
                  <from>
                    <xdr:col>8</xdr:col>
                    <xdr:colOff>579120</xdr:colOff>
                    <xdr:row>11</xdr:row>
                    <xdr:rowOff>45720</xdr:rowOff>
                  </from>
                  <to>
                    <xdr:col>9</xdr:col>
                    <xdr:colOff>563880</xdr:colOff>
                    <xdr:row>13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41874-DF79-42CF-8A68-7897A95242A2}">
  <sheetPr codeName="Foglio7">
    <tabColor theme="8" tint="-0.249977111117893"/>
  </sheetPr>
  <dimension ref="B1:L23"/>
  <sheetViews>
    <sheetView zoomScale="85" zoomScaleNormal="85" workbookViewId="0">
      <selection activeCell="E12" sqref="E12:H15"/>
    </sheetView>
  </sheetViews>
  <sheetFormatPr defaultRowHeight="14.4" x14ac:dyDescent="0.3"/>
  <cols>
    <col min="1" max="1" width="13" style="1" customWidth="1"/>
    <col min="2" max="2" width="17.5546875" style="1" customWidth="1"/>
    <col min="3" max="3" width="18.77734375" style="1" customWidth="1"/>
    <col min="4" max="4" width="22.77734375" style="1" customWidth="1"/>
    <col min="5" max="5" width="14.77734375" style="1" customWidth="1"/>
    <col min="6" max="6" width="32.44140625" style="1" customWidth="1"/>
    <col min="7" max="7" width="13.21875" style="1" bestFit="1" customWidth="1"/>
    <col min="8" max="8" width="13.33203125" style="1" bestFit="1" customWidth="1"/>
    <col min="9" max="9" width="6.33203125" style="1" customWidth="1"/>
    <col min="10" max="10" width="23" style="1" customWidth="1"/>
    <col min="11" max="11" width="19.6640625" style="1" customWidth="1"/>
    <col min="12" max="12" width="15.5546875" style="1" customWidth="1"/>
    <col min="13" max="13" width="9.109375" style="1" customWidth="1"/>
    <col min="14" max="14" width="9.6640625" style="1" customWidth="1"/>
    <col min="15" max="17" width="8.88671875" style="1"/>
    <col min="18" max="18" width="8.88671875" style="1" customWidth="1"/>
    <col min="19" max="16384" width="8.88671875" style="1"/>
  </cols>
  <sheetData>
    <row r="1" spans="2:12" ht="15" thickBot="1" x14ac:dyDescent="0.35"/>
    <row r="2" spans="2:12" ht="15" thickBot="1" x14ac:dyDescent="0.35">
      <c r="J2" s="193" t="s">
        <v>104</v>
      </c>
      <c r="K2" s="194"/>
    </row>
    <row r="3" spans="2:12" x14ac:dyDescent="0.3">
      <c r="J3" s="84" t="s">
        <v>17</v>
      </c>
      <c r="K3" s="69">
        <v>45820</v>
      </c>
    </row>
    <row r="4" spans="2:12" x14ac:dyDescent="0.3">
      <c r="J4" s="85" t="s">
        <v>18</v>
      </c>
      <c r="K4" s="70" t="str">
        <f>_xlfn.XLOOKUP(MONTH(K3),tbl_mesi[n],tbl_mesi[mese])</f>
        <v>giugno</v>
      </c>
    </row>
    <row r="5" spans="2:12" x14ac:dyDescent="0.3">
      <c r="J5" s="85" t="s">
        <v>19</v>
      </c>
      <c r="K5" s="70"/>
      <c r="L5" s="67">
        <v>-1</v>
      </c>
    </row>
    <row r="6" spans="2:12" x14ac:dyDescent="0.3">
      <c r="J6" s="85" t="s">
        <v>21</v>
      </c>
      <c r="K6" s="71"/>
      <c r="L6" s="83">
        <f>K6*L5</f>
        <v>0</v>
      </c>
    </row>
    <row r="7" spans="2:12" x14ac:dyDescent="0.3">
      <c r="J7" s="85" t="s">
        <v>22</v>
      </c>
      <c r="K7" s="70"/>
    </row>
    <row r="8" spans="2:12" x14ac:dyDescent="0.3">
      <c r="J8" s="85" t="s">
        <v>173</v>
      </c>
      <c r="K8" s="27" t="s">
        <v>167</v>
      </c>
    </row>
    <row r="9" spans="2:12" ht="15" thickBot="1" x14ac:dyDescent="0.35">
      <c r="J9" s="86" t="s">
        <v>175</v>
      </c>
      <c r="K9" s="72" t="s">
        <v>157</v>
      </c>
    </row>
    <row r="11" spans="2:12" x14ac:dyDescent="0.3">
      <c r="B11" s="2" t="s">
        <v>0</v>
      </c>
      <c r="C11" s="2" t="s">
        <v>1</v>
      </c>
      <c r="D11" s="2" t="s">
        <v>2</v>
      </c>
      <c r="E11" s="2" t="s">
        <v>3</v>
      </c>
      <c r="F11" s="2" t="s">
        <v>4</v>
      </c>
      <c r="G11" s="2" t="s">
        <v>174</v>
      </c>
      <c r="H11" s="2" t="s">
        <v>176</v>
      </c>
    </row>
    <row r="12" spans="2:12" x14ac:dyDescent="0.3">
      <c r="B12" s="15">
        <v>45658</v>
      </c>
      <c r="C12" s="3" t="s">
        <v>5</v>
      </c>
      <c r="D12" s="16"/>
      <c r="E12" s="36"/>
      <c r="F12" s="16"/>
      <c r="G12" s="74"/>
      <c r="H12" s="74"/>
    </row>
    <row r="13" spans="2:12" x14ac:dyDescent="0.3">
      <c r="B13" s="15">
        <v>45689</v>
      </c>
      <c r="C13" s="3" t="s">
        <v>6</v>
      </c>
      <c r="D13" s="16"/>
      <c r="E13" s="36"/>
      <c r="F13" s="16"/>
      <c r="G13" s="74"/>
      <c r="H13" s="74"/>
    </row>
    <row r="14" spans="2:12" x14ac:dyDescent="0.3">
      <c r="B14" s="15">
        <v>45717</v>
      </c>
      <c r="C14" s="3" t="s">
        <v>8</v>
      </c>
      <c r="D14" s="16"/>
      <c r="E14" s="36"/>
      <c r="F14" s="16"/>
      <c r="G14" s="74"/>
      <c r="H14" s="74"/>
    </row>
    <row r="15" spans="2:12" x14ac:dyDescent="0.3">
      <c r="B15" s="15">
        <v>45748</v>
      </c>
      <c r="C15" s="3" t="s">
        <v>9</v>
      </c>
      <c r="D15" s="16"/>
      <c r="E15" s="36"/>
      <c r="F15" s="16"/>
      <c r="G15" s="74"/>
      <c r="H15" s="74"/>
    </row>
    <row r="16" spans="2:12" x14ac:dyDescent="0.3">
      <c r="B16" s="15">
        <v>45778</v>
      </c>
      <c r="C16" s="3" t="s">
        <v>10</v>
      </c>
      <c r="D16" s="16"/>
      <c r="E16" s="36"/>
      <c r="F16" s="16"/>
      <c r="G16" s="74"/>
      <c r="H16" s="74"/>
    </row>
    <row r="17" spans="2:8" x14ac:dyDescent="0.3">
      <c r="B17" s="15">
        <v>45809</v>
      </c>
      <c r="C17" s="3" t="s">
        <v>11</v>
      </c>
      <c r="D17" s="16"/>
      <c r="E17" s="36"/>
      <c r="F17" s="16"/>
      <c r="G17" s="74"/>
      <c r="H17" s="74"/>
    </row>
    <row r="18" spans="2:8" x14ac:dyDescent="0.3">
      <c r="B18" s="15">
        <v>45839</v>
      </c>
      <c r="C18" s="3" t="s">
        <v>12</v>
      </c>
      <c r="D18" s="16"/>
      <c r="E18" s="36"/>
      <c r="F18" s="16"/>
      <c r="G18" s="74"/>
      <c r="H18" s="74"/>
    </row>
    <row r="19" spans="2:8" x14ac:dyDescent="0.3">
      <c r="B19" s="15">
        <v>45870</v>
      </c>
      <c r="C19" s="3" t="s">
        <v>13</v>
      </c>
      <c r="D19" s="16"/>
      <c r="E19" s="36"/>
      <c r="F19" s="16"/>
      <c r="G19" s="74"/>
      <c r="H19" s="74"/>
    </row>
    <row r="20" spans="2:8" x14ac:dyDescent="0.3">
      <c r="B20" s="15">
        <v>45901</v>
      </c>
      <c r="C20" s="3" t="s">
        <v>14</v>
      </c>
      <c r="D20" s="16"/>
      <c r="E20" s="36"/>
      <c r="F20" s="16"/>
      <c r="G20" s="74"/>
      <c r="H20" s="74"/>
    </row>
    <row r="21" spans="2:8" x14ac:dyDescent="0.3">
      <c r="B21" s="15">
        <v>45931</v>
      </c>
      <c r="C21" s="3" t="s">
        <v>15</v>
      </c>
      <c r="D21" s="16"/>
      <c r="E21" s="36"/>
      <c r="F21" s="16"/>
      <c r="G21" s="74"/>
      <c r="H21" s="74"/>
    </row>
    <row r="22" spans="2:8" x14ac:dyDescent="0.3">
      <c r="B22" s="15">
        <v>45962</v>
      </c>
      <c r="C22" s="3" t="s">
        <v>16</v>
      </c>
      <c r="D22" s="16"/>
      <c r="E22" s="36"/>
      <c r="F22" s="16"/>
      <c r="G22" s="74"/>
      <c r="H22" s="74"/>
    </row>
    <row r="23" spans="2:8" x14ac:dyDescent="0.3">
      <c r="B23" s="15">
        <v>45992</v>
      </c>
      <c r="C23" s="3" t="s">
        <v>7</v>
      </c>
      <c r="D23" s="16"/>
      <c r="E23" s="36"/>
      <c r="F23" s="16"/>
      <c r="G23" s="74"/>
      <c r="H23" s="74"/>
    </row>
  </sheetData>
  <mergeCells count="1">
    <mergeCell ref="J2:K2"/>
  </mergeCells>
  <dataValidations count="3">
    <dataValidation type="list" allowBlank="1" showInputMessage="1" showErrorMessage="1" sqref="K5" xr:uid="{D15CA0C1-FE9E-4928-8FE2-2F73BD1F4D1A}">
      <formula1>investimenti_lista</formula1>
    </dataValidation>
    <dataValidation type="list" allowBlank="1" showInputMessage="1" showErrorMessage="1" sqref="K8" xr:uid="{C2F2F548-3644-456D-87D9-6E2A4D8BEAC5}">
      <formula1>carte_lista</formula1>
    </dataValidation>
    <dataValidation type="list" allowBlank="1" showInputMessage="1" showErrorMessage="1" sqref="K9" xr:uid="{32264F46-4643-4AF5-9D19-E84F3C39C91E}">
      <formula1>persone_lista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InserireInvestimento">
                <anchor>
                  <from>
                    <xdr:col>8</xdr:col>
                    <xdr:colOff>419100</xdr:colOff>
                    <xdr:row>9</xdr:row>
                    <xdr:rowOff>106680</xdr:rowOff>
                  </from>
                  <to>
                    <xdr:col>11</xdr:col>
                    <xdr:colOff>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SottrarreInvestimento">
                <anchor>
                  <from>
                    <xdr:col>9</xdr:col>
                    <xdr:colOff>662940</xdr:colOff>
                    <xdr:row>12</xdr:row>
                    <xdr:rowOff>53340</xdr:rowOff>
                  </from>
                  <to>
                    <xdr:col>10</xdr:col>
                    <xdr:colOff>670560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31</vt:i4>
      </vt:variant>
    </vt:vector>
  </HeadingPairs>
  <TitlesOfParts>
    <vt:vector size="42" baseType="lpstr">
      <vt:lpstr>APP</vt:lpstr>
      <vt:lpstr>CALCOLI</vt:lpstr>
      <vt:lpstr>IMPOSTAZIONI</vt:lpstr>
      <vt:lpstr>PIVOT</vt:lpstr>
      <vt:lpstr>RIEPILOGO</vt:lpstr>
      <vt:lpstr>CARTE</vt:lpstr>
      <vt:lpstr>ENTRATE</vt:lpstr>
      <vt:lpstr>SPESE</vt:lpstr>
      <vt:lpstr>RIMBORSI</vt:lpstr>
      <vt:lpstr>RISPARMI</vt:lpstr>
      <vt:lpstr>INVESTIMENTI</vt:lpstr>
      <vt:lpstr>RIMBORSI!abbonamenti_lista</vt:lpstr>
      <vt:lpstr>abbonamenti_lista</vt:lpstr>
      <vt:lpstr>RIMBORSI!animalidomestici_lista</vt:lpstr>
      <vt:lpstr>animalidomestici_lista</vt:lpstr>
      <vt:lpstr>RIMBORSI!banca_lista</vt:lpstr>
      <vt:lpstr>banca_lista</vt:lpstr>
      <vt:lpstr>RIMBORSI!carte_lista</vt:lpstr>
      <vt:lpstr>carte_lista</vt:lpstr>
      <vt:lpstr>RIMBORSI!casa_lista</vt:lpstr>
      <vt:lpstr>casa_lista</vt:lpstr>
      <vt:lpstr>RIMBORSI!entrate_lista</vt:lpstr>
      <vt:lpstr>entrate_lista</vt:lpstr>
      <vt:lpstr>RIMBORSI!eventi_lista</vt:lpstr>
      <vt:lpstr>eventi_lista</vt:lpstr>
      <vt:lpstr>RIMBORSI!figli_lista</vt:lpstr>
      <vt:lpstr>figli_lista</vt:lpstr>
      <vt:lpstr>RIMBORSI!investimenti_lista</vt:lpstr>
      <vt:lpstr>investimenti_lista</vt:lpstr>
      <vt:lpstr>RIMBORSI!persone_lista</vt:lpstr>
      <vt:lpstr>persone_lista</vt:lpstr>
      <vt:lpstr>rimborso_lista</vt:lpstr>
      <vt:lpstr>RIMBORSI!salute_lista</vt:lpstr>
      <vt:lpstr>salute_lista</vt:lpstr>
      <vt:lpstr>RIMBORSI!spese_lista</vt:lpstr>
      <vt:lpstr>spese_lista</vt:lpstr>
      <vt:lpstr>RIMBORSI!spesequotidiane_lista</vt:lpstr>
      <vt:lpstr>spesequotidiane_lista</vt:lpstr>
      <vt:lpstr>RIMBORSI!svago_lista</vt:lpstr>
      <vt:lpstr>svago_lista</vt:lpstr>
      <vt:lpstr>RIMBORSI!trasporto_lista</vt:lpstr>
      <vt:lpstr>trasporto_lista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Felice Dario</dc:creator>
  <cp:lastModifiedBy>felice.dario@hotmail.com</cp:lastModifiedBy>
  <dcterms:created xsi:type="dcterms:W3CDTF">2025-06-18T16:04:02Z</dcterms:created>
  <dcterms:modified xsi:type="dcterms:W3CDTF">2025-10-14T10:23:40Z</dcterms:modified>
</cp:coreProperties>
</file>